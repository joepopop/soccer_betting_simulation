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1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oepopop/Desktop/Data Science Projects/soccer_betting_simulation/data/processed/"/>
    </mc:Choice>
  </mc:AlternateContent>
  <xr:revisionPtr revIDLastSave="0" documentId="13_ncr:40009_{731C9886-BFB0-A942-ACDE-156F4C60D693}" xr6:coauthVersionLast="47" xr6:coauthVersionMax="47" xr10:uidLastSave="{00000000-0000-0000-0000-000000000000}"/>
  <bookViews>
    <workbookView xWindow="880" yWindow="1500" windowWidth="24640" windowHeight="13900"/>
  </bookViews>
  <sheets>
    <sheet name="unbiased_arbitrag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3" i="1" l="1" a="1"/>
  <c r="AZ3" i="1" s="1"/>
  <c r="BA3" i="1" s="1"/>
  <c r="AV4" i="1" s="1"/>
  <c r="AV3" i="1"/>
  <c r="AX3" i="1"/>
  <c r="AW3" i="1"/>
  <c r="AY3" i="1" l="1"/>
  <c r="AW4" i="1" l="1"/>
  <c r="AY4" i="1"/>
  <c r="AX4" i="1"/>
  <c r="AZ4" i="1" l="1" a="1"/>
  <c r="AZ4" i="1" s="1"/>
  <c r="BA4" i="1" s="1"/>
  <c r="AV5" i="1" s="1"/>
  <c r="AX5" i="1" l="1"/>
  <c r="AW5" i="1"/>
  <c r="AY5" i="1"/>
  <c r="AZ5" i="1" l="1" a="1"/>
  <c r="AZ5" i="1" s="1"/>
  <c r="BA5" i="1" s="1"/>
  <c r="AV6" i="1" s="1"/>
  <c r="AY6" i="1" l="1"/>
  <c r="AX6" i="1"/>
  <c r="AW6" i="1"/>
  <c r="AZ6" i="1" s="1" a="1"/>
  <c r="AZ6" i="1" s="1"/>
  <c r="BA6" i="1" s="1"/>
  <c r="AV7" i="1" s="1"/>
  <c r="AW7" i="1" s="1"/>
  <c r="AY7" i="1" l="1"/>
  <c r="AX7" i="1"/>
  <c r="AZ7" i="1" s="1" a="1"/>
  <c r="AZ7" i="1" s="1"/>
  <c r="BA7" i="1" s="1"/>
  <c r="AV8" i="1" s="1"/>
  <c r="AW8" i="1" l="1"/>
  <c r="AY8" i="1"/>
  <c r="AX8" i="1"/>
  <c r="AZ8" i="1" l="1" a="1"/>
  <c r="AZ8" i="1" s="1"/>
  <c r="BA8" i="1" s="1"/>
  <c r="AV9" i="1" s="1"/>
  <c r="AX9" i="1" l="1"/>
  <c r="AY9" i="1"/>
  <c r="AW9" i="1"/>
  <c r="AZ9" i="1" s="1" a="1"/>
  <c r="AZ9" i="1" s="1"/>
  <c r="BA9" i="1" s="1"/>
  <c r="AV10" i="1" s="1"/>
  <c r="AW10" i="1" l="1"/>
  <c r="AX10" i="1"/>
  <c r="AY10" i="1"/>
  <c r="AZ10" i="1" l="1" a="1"/>
  <c r="AZ10" i="1" s="1"/>
  <c r="BA10" i="1" s="1"/>
  <c r="AV11" i="1" s="1"/>
  <c r="AW11" i="1" l="1"/>
  <c r="AX11" i="1"/>
  <c r="AY11" i="1"/>
  <c r="AZ11" i="1" l="1" a="1"/>
  <c r="AZ11" i="1" s="1"/>
  <c r="BA11" i="1" s="1"/>
  <c r="AV12" i="1" s="1"/>
  <c r="AX12" i="1" l="1"/>
  <c r="AY12" i="1"/>
  <c r="AW12" i="1"/>
  <c r="AZ12" i="1" l="1" a="1"/>
  <c r="AZ12" i="1" s="1"/>
  <c r="BA12" i="1" s="1"/>
  <c r="AV13" i="1" s="1"/>
  <c r="AW13" i="1" s="1"/>
  <c r="AX13" i="1" l="1"/>
  <c r="AY13" i="1"/>
  <c r="AZ13" i="1" s="1" a="1"/>
  <c r="AZ13" i="1" s="1"/>
  <c r="BA13" i="1" s="1"/>
  <c r="AV14" i="1" s="1"/>
  <c r="AW14" i="1" l="1"/>
  <c r="AX14" i="1"/>
  <c r="AY14" i="1"/>
  <c r="AZ14" i="1" l="1" a="1"/>
  <c r="AZ14" i="1" s="1"/>
  <c r="BA14" i="1" s="1"/>
  <c r="AV15" i="1" s="1"/>
  <c r="AX15" i="1" s="1"/>
  <c r="AY15" i="1" l="1"/>
  <c r="AW15" i="1"/>
  <c r="AZ15" i="1" a="1"/>
  <c r="AZ15" i="1" s="1"/>
  <c r="BA15" i="1" s="1"/>
  <c r="AV16" i="1" s="1"/>
  <c r="AX16" i="1" l="1"/>
  <c r="AY16" i="1"/>
  <c r="AW16" i="1"/>
  <c r="AZ16" i="1" l="1" a="1"/>
  <c r="AZ16" i="1" s="1"/>
  <c r="BA16" i="1" s="1"/>
  <c r="AV17" i="1" s="1"/>
  <c r="AY17" i="1" l="1"/>
  <c r="AX17" i="1"/>
  <c r="AW17" i="1"/>
  <c r="AZ17" i="1" s="1" a="1"/>
  <c r="AZ17" i="1" s="1"/>
  <c r="BA17" i="1" s="1"/>
  <c r="AV18" i="1" s="1"/>
  <c r="AW18" i="1" l="1"/>
  <c r="AX18" i="1"/>
  <c r="AY18" i="1"/>
  <c r="AZ18" i="1" l="1" a="1"/>
  <c r="AZ18" i="1" s="1"/>
  <c r="BA18" i="1" s="1"/>
  <c r="AV19" i="1" s="1"/>
  <c r="AW19" i="1" l="1"/>
  <c r="AX19" i="1"/>
  <c r="AY19" i="1"/>
  <c r="AZ19" i="1" l="1" a="1"/>
  <c r="AZ19" i="1" s="1"/>
  <c r="BA19" i="1" s="1"/>
  <c r="AV20" i="1" s="1"/>
  <c r="AY20" i="1" s="1"/>
  <c r="AX20" i="1" l="1"/>
  <c r="AW20" i="1"/>
  <c r="AZ20" i="1" a="1"/>
  <c r="AZ20" i="1" s="1"/>
  <c r="BA20" i="1" s="1"/>
  <c r="AV21" i="1" s="1"/>
  <c r="AX21" i="1" l="1"/>
  <c r="AY21" i="1"/>
  <c r="AW21" i="1"/>
  <c r="AZ21" i="1" l="1" a="1"/>
  <c r="AZ21" i="1" s="1"/>
  <c r="BA21" i="1" s="1"/>
  <c r="AV22" i="1" s="1"/>
  <c r="AW22" i="1" s="1"/>
  <c r="AY22" i="1" l="1"/>
  <c r="AX22" i="1"/>
  <c r="AZ22" i="1" s="1" a="1"/>
  <c r="AZ22" i="1" s="1"/>
  <c r="BA22" i="1" s="1"/>
  <c r="AV23" i="1" s="1"/>
  <c r="AW23" i="1" s="1"/>
  <c r="AY23" i="1" l="1"/>
  <c r="AX23" i="1"/>
  <c r="AZ23" i="1" s="1" a="1"/>
  <c r="AZ23" i="1" s="1"/>
  <c r="BA23" i="1" s="1"/>
  <c r="AV24" i="1" s="1"/>
  <c r="AY24" i="1" l="1"/>
  <c r="AW24" i="1"/>
  <c r="AX24" i="1"/>
  <c r="AZ24" i="1" l="1" a="1"/>
  <c r="AZ24" i="1" s="1"/>
  <c r="BA24" i="1" s="1"/>
  <c r="AV25" i="1" s="1"/>
  <c r="AY25" i="1" l="1"/>
  <c r="AX25" i="1"/>
  <c r="AW25" i="1"/>
  <c r="AZ25" i="1" l="1" a="1"/>
  <c r="AZ25" i="1" s="1"/>
  <c r="BA25" i="1" s="1"/>
  <c r="AV26" i="1" s="1"/>
  <c r="AW26" i="1" s="1"/>
  <c r="AY26" i="1"/>
  <c r="AX26" i="1"/>
  <c r="AZ26" i="1" l="1" a="1"/>
  <c r="AZ26" i="1" s="1"/>
  <c r="BA26" i="1" s="1"/>
  <c r="AV27" i="1" s="1"/>
  <c r="AW27" i="1" l="1"/>
  <c r="AX27" i="1"/>
  <c r="AY27" i="1"/>
  <c r="AZ27" i="1" l="1" a="1"/>
  <c r="AZ27" i="1" s="1"/>
  <c r="BA27" i="1" s="1"/>
  <c r="AV28" i="1" s="1"/>
  <c r="AY28" i="1" l="1"/>
  <c r="AW28" i="1"/>
  <c r="AX28" i="1"/>
  <c r="AZ28" i="1" l="1" a="1"/>
  <c r="AZ28" i="1" s="1"/>
  <c r="BA28" i="1" s="1"/>
  <c r="AV29" i="1" s="1"/>
  <c r="AW29" i="1" s="1"/>
  <c r="AY29" i="1" l="1"/>
  <c r="AZ29" i="1" s="1" a="1"/>
  <c r="AZ29" i="1" s="1"/>
  <c r="BA29" i="1" s="1"/>
  <c r="AV30" i="1" s="1"/>
  <c r="AX29" i="1"/>
  <c r="AX30" i="1" l="1"/>
  <c r="AW30" i="1"/>
  <c r="AY30" i="1"/>
  <c r="AZ30" i="1" l="1" a="1"/>
  <c r="AZ30" i="1" s="1"/>
  <c r="BA30" i="1" s="1"/>
  <c r="AV31" i="1" s="1"/>
  <c r="AX31" i="1"/>
  <c r="AY31" i="1"/>
  <c r="AW31" i="1"/>
  <c r="AZ31" i="1" s="1" a="1"/>
  <c r="AZ31" i="1" s="1"/>
  <c r="BA31" i="1" s="1"/>
  <c r="AV32" i="1" s="1"/>
  <c r="AX32" i="1" l="1"/>
  <c r="AW32" i="1"/>
  <c r="AY32" i="1"/>
  <c r="AZ32" i="1" l="1" a="1"/>
  <c r="AZ32" i="1" s="1"/>
  <c r="BA32" i="1" s="1"/>
  <c r="AV33" i="1" s="1"/>
  <c r="AX33" i="1" s="1"/>
  <c r="AY33" i="1" l="1"/>
  <c r="AW33" i="1"/>
  <c r="AZ33" i="1" a="1"/>
  <c r="AZ33" i="1" s="1"/>
  <c r="BA33" i="1" s="1"/>
  <c r="AV34" i="1" s="1"/>
  <c r="AX34" i="1" l="1"/>
  <c r="AY34" i="1"/>
  <c r="AW34" i="1"/>
  <c r="AZ34" i="1" s="1" a="1"/>
  <c r="AZ34" i="1" s="1"/>
  <c r="BA34" i="1" s="1"/>
  <c r="AV35" i="1" s="1"/>
  <c r="AX35" i="1" l="1"/>
  <c r="AW35" i="1"/>
  <c r="AY35" i="1"/>
  <c r="AZ35" i="1" l="1" a="1"/>
  <c r="AZ35" i="1" s="1"/>
  <c r="BA35" i="1" s="1"/>
  <c r="AV36" i="1" s="1"/>
  <c r="AW36" i="1" l="1"/>
  <c r="AX36" i="1"/>
  <c r="AY36" i="1"/>
  <c r="AZ36" i="1" l="1" a="1"/>
  <c r="AZ36" i="1" s="1"/>
  <c r="BA36" i="1" s="1"/>
  <c r="AV37" i="1" s="1"/>
  <c r="AW37" i="1" l="1"/>
  <c r="AX37" i="1"/>
  <c r="AY37" i="1"/>
  <c r="AZ37" i="1" l="1" a="1"/>
  <c r="AZ37" i="1" s="1"/>
  <c r="BA37" i="1" s="1"/>
  <c r="AV38" i="1" s="1"/>
  <c r="AX38" i="1" l="1"/>
  <c r="AY38" i="1"/>
  <c r="AW38" i="1"/>
  <c r="AZ38" i="1" l="1" a="1"/>
  <c r="AZ38" i="1" s="1"/>
  <c r="BA38" i="1" s="1"/>
  <c r="AV39" i="1" s="1"/>
  <c r="AW39" i="1" s="1"/>
  <c r="AY39" i="1" l="1"/>
  <c r="AX39" i="1"/>
  <c r="AZ39" i="1" a="1"/>
  <c r="AZ39" i="1" s="1"/>
  <c r="BA39" i="1" s="1"/>
  <c r="AV40" i="1" s="1"/>
  <c r="AY40" i="1" l="1"/>
  <c r="AW40" i="1"/>
  <c r="AX40" i="1"/>
  <c r="AZ40" i="1" l="1" a="1"/>
  <c r="AZ40" i="1" s="1"/>
  <c r="BA40" i="1" s="1"/>
  <c r="AV41" i="1" s="1"/>
  <c r="AW41" i="1" s="1"/>
  <c r="AY41" i="1" l="1"/>
  <c r="AX41" i="1"/>
  <c r="AZ41" i="1" l="1" a="1"/>
  <c r="AZ41" i="1" s="1"/>
  <c r="BA41" i="1" s="1"/>
  <c r="AV42" i="1" s="1"/>
  <c r="AW42" i="1"/>
  <c r="AX42" i="1"/>
  <c r="AY42" i="1"/>
  <c r="AZ42" i="1" l="1" a="1"/>
  <c r="AZ42" i="1" s="1"/>
  <c r="BA42" i="1" s="1"/>
  <c r="AV43" i="1" s="1"/>
  <c r="AX43" i="1"/>
  <c r="AY43" i="1"/>
  <c r="AW43" i="1"/>
  <c r="AZ43" i="1" s="1" a="1"/>
  <c r="AZ43" i="1" s="1"/>
  <c r="BA43" i="1" s="1"/>
  <c r="AV44" i="1" s="1"/>
  <c r="AY44" i="1" l="1"/>
  <c r="AW44" i="1"/>
  <c r="AX44" i="1"/>
  <c r="AZ44" i="1" l="1" a="1"/>
  <c r="AZ44" i="1" s="1"/>
  <c r="BA44" i="1" s="1"/>
  <c r="AV45" i="1" s="1"/>
  <c r="AW45" i="1" l="1"/>
  <c r="AX45" i="1"/>
  <c r="AY45" i="1"/>
  <c r="AZ45" i="1" l="1" a="1"/>
  <c r="AZ45" i="1" s="1"/>
  <c r="BA45" i="1" s="1"/>
  <c r="AV46" i="1" s="1"/>
  <c r="AY46" i="1" l="1"/>
  <c r="AW46" i="1"/>
  <c r="AX46" i="1"/>
  <c r="AZ46" i="1" l="1" a="1"/>
  <c r="AZ46" i="1" s="1"/>
  <c r="BA46" i="1" s="1"/>
  <c r="AV47" i="1" s="1"/>
  <c r="AX47" i="1" l="1"/>
  <c r="AY47" i="1"/>
  <c r="AW47" i="1"/>
  <c r="AZ47" i="1" l="1" a="1"/>
  <c r="AZ47" i="1" s="1"/>
  <c r="BA47" i="1" s="1"/>
  <c r="AV48" i="1" s="1"/>
  <c r="AW48" i="1" s="1"/>
  <c r="AX48" i="1" l="1"/>
  <c r="AY48" i="1"/>
  <c r="AZ48" i="1" a="1"/>
  <c r="AZ48" i="1" s="1"/>
  <c r="BA48" i="1" s="1"/>
  <c r="AV49" i="1" s="1"/>
  <c r="AW49" i="1" l="1"/>
  <c r="AX49" i="1"/>
  <c r="AY49" i="1"/>
  <c r="AZ49" i="1" l="1" a="1"/>
  <c r="AZ49" i="1" s="1"/>
  <c r="BA49" i="1" s="1"/>
  <c r="AV50" i="1" s="1"/>
  <c r="AX50" i="1" l="1"/>
  <c r="AY50" i="1"/>
  <c r="AW50" i="1"/>
  <c r="AZ50" i="1" l="1" a="1"/>
  <c r="AZ50" i="1" s="1"/>
  <c r="BA50" i="1" s="1"/>
  <c r="AV51" i="1" s="1"/>
  <c r="AW51" i="1" s="1"/>
  <c r="AY51" i="1" l="1"/>
  <c r="AX51" i="1"/>
  <c r="AZ51" i="1" s="1" a="1"/>
  <c r="AZ51" i="1" s="1"/>
  <c r="BA51" i="1" s="1"/>
  <c r="AV52" i="1" s="1"/>
  <c r="AW52" i="1" l="1"/>
  <c r="AX52" i="1"/>
  <c r="AY52" i="1"/>
  <c r="AZ52" i="1" l="1" a="1"/>
  <c r="AZ52" i="1" s="1"/>
  <c r="BA52" i="1" s="1"/>
  <c r="AV53" i="1" s="1"/>
  <c r="AW53" i="1" s="1"/>
  <c r="AY53" i="1" l="1"/>
  <c r="AX53" i="1"/>
  <c r="AZ53" i="1" a="1"/>
  <c r="AZ53" i="1" s="1"/>
  <c r="BA53" i="1" s="1"/>
  <c r="AV54" i="1" s="1"/>
  <c r="AX54" i="1" l="1"/>
  <c r="AY54" i="1"/>
  <c r="AW54" i="1"/>
  <c r="AZ54" i="1" l="1" a="1"/>
  <c r="AZ54" i="1" s="1"/>
  <c r="BA54" i="1" s="1"/>
  <c r="AV55" i="1" s="1"/>
  <c r="AX55" i="1" s="1"/>
  <c r="AW55" i="1" l="1"/>
  <c r="AY55" i="1"/>
  <c r="AZ55" i="1" l="1" a="1"/>
  <c r="AZ55" i="1" s="1"/>
  <c r="BA55" i="1" s="1"/>
  <c r="AV56" i="1" s="1"/>
  <c r="AY56" i="1" s="1"/>
  <c r="AW56" i="1" l="1"/>
  <c r="AX56" i="1"/>
  <c r="AZ56" i="1" l="1" a="1"/>
  <c r="AZ56" i="1" s="1"/>
  <c r="BA56" i="1" s="1"/>
  <c r="AV57" i="1" s="1"/>
  <c r="AY57" i="1" l="1"/>
  <c r="AW57" i="1"/>
  <c r="AX57" i="1"/>
  <c r="AZ57" i="1" l="1" a="1"/>
  <c r="AZ57" i="1" s="1"/>
  <c r="BA57" i="1" s="1"/>
  <c r="AV58" i="1" s="1"/>
  <c r="AY58" i="1"/>
  <c r="AX58" i="1" l="1"/>
  <c r="AW58" i="1"/>
  <c r="AZ58" i="1" s="1" a="1"/>
  <c r="AZ58" i="1" s="1"/>
  <c r="BA58" i="1" s="1"/>
  <c r="AV59" i="1" s="1"/>
  <c r="AX59" i="1" s="1"/>
  <c r="AW59" i="1" l="1"/>
  <c r="AY59" i="1"/>
  <c r="AZ59" i="1" a="1"/>
  <c r="AZ59" i="1" s="1"/>
  <c r="BA59" i="1" s="1"/>
  <c r="AV60" i="1" s="1"/>
  <c r="AW60" i="1" s="1"/>
  <c r="AY60" i="1" l="1"/>
  <c r="AX60" i="1"/>
  <c r="AZ60" i="1" s="1" a="1"/>
  <c r="AZ60" i="1" s="1"/>
  <c r="BA60" i="1" s="1"/>
  <c r="AV61" i="1" s="1"/>
  <c r="AW61" i="1" l="1"/>
  <c r="AY61" i="1"/>
  <c r="AX61" i="1"/>
  <c r="AZ61" i="1" l="1" a="1"/>
  <c r="AZ61" i="1" s="1"/>
  <c r="BA61" i="1" s="1"/>
  <c r="AV62" i="1" s="1"/>
  <c r="AY62" i="1" l="1"/>
  <c r="AW62" i="1"/>
  <c r="AX62" i="1"/>
  <c r="AZ62" i="1" l="1" a="1"/>
  <c r="AZ62" i="1" s="1"/>
  <c r="BA62" i="1" s="1"/>
  <c r="AV63" i="1" s="1"/>
  <c r="AW63" i="1" s="1"/>
  <c r="AY63" i="1" l="1"/>
  <c r="AX63" i="1"/>
  <c r="AZ63" i="1" s="1" a="1"/>
  <c r="AZ63" i="1" s="1"/>
  <c r="BA63" i="1" s="1"/>
  <c r="AV64" i="1" s="1"/>
  <c r="AY64" i="1" s="1"/>
  <c r="AW64" i="1" l="1"/>
  <c r="AX64" i="1"/>
  <c r="AZ64" i="1" l="1" a="1"/>
  <c r="AZ64" i="1" s="1"/>
  <c r="BA64" i="1" s="1"/>
  <c r="AV65" i="1" s="1"/>
  <c r="AY65" i="1" l="1"/>
  <c r="AW65" i="1"/>
  <c r="AX65" i="1"/>
  <c r="AZ65" i="1" l="1" a="1"/>
  <c r="AZ65" i="1" s="1"/>
  <c r="BA65" i="1" s="1"/>
  <c r="AV66" i="1" s="1"/>
  <c r="AY66" i="1" l="1"/>
  <c r="AW66" i="1"/>
  <c r="AX66" i="1"/>
  <c r="AZ66" i="1" l="1" a="1"/>
  <c r="AZ66" i="1" s="1"/>
  <c r="BA66" i="1" s="1"/>
  <c r="AV67" i="1" s="1"/>
  <c r="AW67" i="1" s="1"/>
  <c r="AY67" i="1"/>
  <c r="AX67" i="1"/>
  <c r="AZ67" i="1" l="1" a="1"/>
  <c r="AZ67" i="1" s="1"/>
  <c r="BA67" i="1" s="1"/>
  <c r="AV68" i="1" s="1"/>
  <c r="AX68" i="1" s="1"/>
  <c r="AW68" i="1" l="1"/>
  <c r="AY68" i="1"/>
  <c r="AZ68" i="1" a="1"/>
  <c r="AZ68" i="1" s="1"/>
  <c r="BA68" i="1" s="1"/>
  <c r="AV69" i="1" s="1"/>
  <c r="AW69" i="1" l="1"/>
  <c r="AX69" i="1"/>
  <c r="AY69" i="1"/>
  <c r="AZ69" i="1" l="1" a="1"/>
  <c r="AZ69" i="1" s="1"/>
  <c r="BA69" i="1" s="1"/>
  <c r="AV70" i="1" s="1"/>
  <c r="AX70" i="1" l="1"/>
  <c r="AW70" i="1"/>
  <c r="AY70" i="1"/>
  <c r="AZ70" i="1" l="1" a="1"/>
  <c r="AZ70" i="1" s="1"/>
  <c r="BA70" i="1" s="1"/>
  <c r="AV71" i="1" s="1"/>
  <c r="AY71" i="1" s="1"/>
  <c r="AX71" i="1" l="1"/>
  <c r="AW71" i="1"/>
  <c r="AZ71" i="1" a="1"/>
  <c r="AZ71" i="1" s="1"/>
  <c r="BA71" i="1" s="1"/>
  <c r="AV72" i="1" s="1"/>
  <c r="AY72" i="1" l="1"/>
  <c r="AW72" i="1"/>
  <c r="AX72" i="1"/>
  <c r="AZ72" i="1" l="1" a="1"/>
  <c r="AZ72" i="1" s="1"/>
  <c r="BA72" i="1" s="1"/>
  <c r="AV73" i="1" s="1"/>
  <c r="AY73" i="1" s="1"/>
  <c r="AX73" i="1" l="1"/>
  <c r="AW73" i="1"/>
  <c r="AZ73" i="1" s="1" a="1"/>
  <c r="AZ73" i="1" s="1"/>
  <c r="BA73" i="1" s="1"/>
  <c r="AV74" i="1" s="1"/>
  <c r="AX74" i="1" s="1"/>
  <c r="AW74" i="1" l="1"/>
  <c r="AY74" i="1"/>
  <c r="AZ74" i="1" s="1" a="1"/>
  <c r="AZ74" i="1" s="1"/>
  <c r="BA74" i="1" s="1"/>
  <c r="AV75" i="1" s="1"/>
  <c r="AX75" i="1" s="1"/>
  <c r="AY75" i="1" l="1"/>
  <c r="AW75" i="1"/>
  <c r="AZ75" i="1" a="1"/>
  <c r="AZ75" i="1" s="1"/>
  <c r="BA75" i="1" s="1"/>
  <c r="AV76" i="1" s="1"/>
  <c r="AY76" i="1" l="1"/>
  <c r="AW76" i="1"/>
  <c r="AX76" i="1"/>
  <c r="AZ76" i="1" l="1" a="1"/>
  <c r="AZ76" i="1" s="1"/>
  <c r="BA76" i="1" s="1"/>
  <c r="AV77" i="1" s="1"/>
  <c r="AW77" i="1" l="1"/>
  <c r="AY77" i="1"/>
  <c r="AX77" i="1"/>
  <c r="AZ77" i="1" l="1" a="1"/>
  <c r="AZ77" i="1" s="1"/>
  <c r="BA77" i="1" s="1"/>
  <c r="AV78" i="1" s="1"/>
  <c r="AY78" i="1" l="1"/>
  <c r="AX78" i="1"/>
  <c r="AW78" i="1"/>
  <c r="AZ78" i="1" l="1" a="1"/>
  <c r="AZ78" i="1" s="1"/>
  <c r="BA78" i="1" s="1"/>
  <c r="AV79" i="1" s="1"/>
  <c r="AY79" i="1" s="1"/>
  <c r="AW79" i="1" l="1"/>
  <c r="AX79" i="1"/>
  <c r="AZ79" i="1" a="1"/>
  <c r="AZ79" i="1" s="1"/>
  <c r="BA79" i="1" s="1"/>
  <c r="AV80" i="1" s="1"/>
  <c r="AW80" i="1" l="1"/>
  <c r="AX80" i="1"/>
  <c r="AY80" i="1"/>
  <c r="AZ80" i="1" l="1" a="1"/>
  <c r="AZ80" i="1" s="1"/>
  <c r="BA80" i="1" s="1"/>
  <c r="AV81" i="1" s="1"/>
  <c r="AX81" i="1" l="1"/>
  <c r="AY81" i="1"/>
  <c r="AW81" i="1"/>
  <c r="AZ81" i="1" l="1" a="1"/>
  <c r="AZ81" i="1" s="1"/>
  <c r="BA81" i="1" s="1"/>
  <c r="AV82" i="1" s="1"/>
  <c r="AX82" i="1" l="1"/>
  <c r="AY82" i="1"/>
  <c r="AW82" i="1"/>
  <c r="AZ82" i="1" l="1" a="1"/>
  <c r="AZ82" i="1" s="1"/>
  <c r="BA82" i="1" s="1"/>
  <c r="AV83" i="1" s="1"/>
  <c r="AX83" i="1" l="1"/>
  <c r="AY83" i="1"/>
  <c r="AW83" i="1"/>
  <c r="AZ83" i="1" l="1" a="1"/>
  <c r="AZ83" i="1" s="1"/>
  <c r="BA83" i="1" s="1"/>
  <c r="AV84" i="1" s="1"/>
  <c r="AX84" i="1" l="1"/>
  <c r="AW84" i="1"/>
  <c r="AY84" i="1"/>
  <c r="AZ84" i="1" l="1" a="1"/>
  <c r="AZ84" i="1" s="1"/>
  <c r="BA84" i="1" s="1"/>
  <c r="AV85" i="1" s="1"/>
  <c r="AY85" i="1"/>
  <c r="AX85" i="1"/>
  <c r="AW85" i="1"/>
  <c r="AZ85" i="1" l="1" a="1"/>
  <c r="AZ85" i="1" s="1"/>
  <c r="BA85" i="1" s="1"/>
  <c r="AV86" i="1" s="1"/>
  <c r="AY86" i="1" l="1"/>
  <c r="AW86" i="1"/>
  <c r="AX86" i="1"/>
  <c r="AZ86" i="1" l="1" a="1"/>
  <c r="AZ86" i="1" s="1"/>
  <c r="BA86" i="1" s="1"/>
  <c r="AV87" i="1" s="1"/>
  <c r="AX87" i="1"/>
  <c r="AY87" i="1"/>
  <c r="AW87" i="1"/>
  <c r="AZ87" i="1" l="1" a="1"/>
  <c r="AZ87" i="1" s="1"/>
  <c r="BA87" i="1" s="1"/>
  <c r="AV88" i="1" s="1"/>
  <c r="AX88" i="1" l="1"/>
  <c r="AY88" i="1"/>
  <c r="AW88" i="1"/>
  <c r="AZ88" i="1" s="1" a="1"/>
  <c r="AZ88" i="1" s="1"/>
  <c r="BA88" i="1" s="1"/>
  <c r="AV89" i="1" s="1"/>
  <c r="AX89" i="1" l="1"/>
  <c r="AY89" i="1"/>
  <c r="AW89" i="1"/>
  <c r="AZ89" i="1" l="1" a="1"/>
  <c r="AZ89" i="1" s="1"/>
  <c r="BA89" i="1" s="1"/>
  <c r="AV90" i="1" s="1"/>
  <c r="AX90" i="1" l="1"/>
  <c r="AY90" i="1"/>
  <c r="AW90" i="1"/>
  <c r="AZ90" i="1" l="1" a="1"/>
  <c r="AZ90" i="1" s="1"/>
  <c r="BA90" i="1" s="1"/>
  <c r="AV91" i="1" s="1"/>
  <c r="AW91" i="1" l="1"/>
  <c r="AX91" i="1"/>
  <c r="AY91" i="1"/>
  <c r="AZ91" i="1" l="1" a="1"/>
  <c r="AZ91" i="1" s="1"/>
  <c r="BA91" i="1" s="1"/>
  <c r="AV92" i="1" s="1"/>
  <c r="AY92" i="1" l="1"/>
  <c r="AX92" i="1"/>
  <c r="AW92" i="1"/>
  <c r="AZ92" i="1" s="1" a="1"/>
  <c r="AZ92" i="1" s="1"/>
  <c r="BA92" i="1" s="1"/>
  <c r="AV93" i="1" s="1"/>
  <c r="AW93" i="1" l="1"/>
  <c r="AX93" i="1"/>
  <c r="AY93" i="1"/>
  <c r="AZ93" i="1" l="1" a="1"/>
  <c r="AZ93" i="1" s="1"/>
  <c r="BA93" i="1" s="1"/>
  <c r="AV94" i="1" s="1"/>
  <c r="AY94" i="1" l="1"/>
  <c r="AX94" i="1"/>
  <c r="AW94" i="1"/>
  <c r="AZ94" i="1" s="1" a="1"/>
  <c r="AZ94" i="1" s="1"/>
  <c r="BA94" i="1" s="1"/>
  <c r="AV95" i="1" s="1"/>
  <c r="AW95" i="1" l="1"/>
  <c r="AX95" i="1"/>
  <c r="AY95" i="1"/>
  <c r="AZ95" i="1" l="1" a="1"/>
  <c r="AZ95" i="1" s="1"/>
  <c r="BA95" i="1" s="1"/>
  <c r="AV96" i="1" s="1"/>
  <c r="AW96" i="1" l="1"/>
  <c r="AY96" i="1"/>
  <c r="AX96" i="1"/>
  <c r="AZ96" i="1" l="1" a="1"/>
  <c r="AZ96" i="1" s="1"/>
  <c r="BA96" i="1" s="1"/>
  <c r="AV97" i="1" s="1"/>
  <c r="AX97" i="1" l="1"/>
  <c r="AW97" i="1"/>
  <c r="AY97" i="1"/>
  <c r="AZ97" i="1" l="1" a="1"/>
  <c r="AZ97" i="1" s="1"/>
  <c r="BA97" i="1" s="1"/>
  <c r="AV98" i="1" s="1"/>
  <c r="AW98" i="1" l="1"/>
  <c r="AX98" i="1"/>
  <c r="AY98" i="1"/>
  <c r="AZ98" i="1" l="1" a="1"/>
  <c r="AZ98" i="1" s="1"/>
  <c r="BA98" i="1" s="1"/>
  <c r="AV99" i="1" s="1"/>
  <c r="AY99" i="1" s="1"/>
  <c r="AW99" i="1" l="1"/>
  <c r="AX99" i="1"/>
  <c r="AZ99" i="1" a="1"/>
  <c r="AZ99" i="1" s="1"/>
  <c r="BA99" i="1" s="1"/>
  <c r="AV100" i="1" s="1"/>
  <c r="AX100" i="1" s="1"/>
  <c r="AW100" i="1"/>
  <c r="AY100" i="1" l="1"/>
  <c r="AZ100" i="1" a="1"/>
  <c r="AZ100" i="1" s="1"/>
  <c r="BA100" i="1" s="1"/>
  <c r="AV101" i="1" s="1"/>
  <c r="AX101" i="1" l="1"/>
  <c r="AW101" i="1"/>
  <c r="AY101" i="1"/>
  <c r="AZ101" i="1" l="1" a="1"/>
  <c r="AZ101" i="1" s="1"/>
  <c r="BA101" i="1" s="1"/>
  <c r="AV102" i="1" s="1"/>
  <c r="AW102" i="1" l="1"/>
  <c r="AX102" i="1"/>
  <c r="AY102" i="1"/>
  <c r="AZ102" i="1" l="1" a="1"/>
  <c r="AZ102" i="1" s="1"/>
  <c r="BA102" i="1" s="1"/>
  <c r="AV103" i="1" s="1"/>
  <c r="AW103" i="1" l="1"/>
  <c r="AX103" i="1"/>
  <c r="AY103" i="1"/>
  <c r="AZ103" i="1" l="1" a="1"/>
  <c r="AZ103" i="1" s="1"/>
  <c r="BA103" i="1" s="1"/>
  <c r="AV104" i="1" s="1"/>
  <c r="AW104" i="1"/>
  <c r="AX104" i="1"/>
  <c r="AY104" i="1"/>
  <c r="AZ104" i="1" l="1" a="1"/>
  <c r="AZ104" i="1" s="1"/>
  <c r="BA104" i="1" s="1"/>
  <c r="AV105" i="1" s="1"/>
  <c r="AY105" i="1" l="1"/>
  <c r="AW105" i="1"/>
  <c r="AX105" i="1"/>
  <c r="AZ105" i="1" l="1" a="1"/>
  <c r="AZ105" i="1" s="1"/>
  <c r="BA105" i="1" s="1"/>
  <c r="AV106" i="1" s="1"/>
  <c r="AW106" i="1" s="1"/>
  <c r="AY106" i="1" l="1"/>
  <c r="AX106" i="1"/>
  <c r="AZ106" i="1" a="1"/>
  <c r="AZ106" i="1" s="1"/>
  <c r="BA106" i="1" s="1"/>
  <c r="AV107" i="1" s="1"/>
  <c r="AX107" i="1" l="1"/>
  <c r="AY107" i="1"/>
  <c r="AW107" i="1"/>
  <c r="AZ107" i="1" s="1" a="1"/>
  <c r="AZ107" i="1" s="1"/>
  <c r="BA107" i="1" s="1"/>
  <c r="AV108" i="1" s="1"/>
  <c r="AX108" i="1" l="1"/>
  <c r="AY108" i="1"/>
  <c r="AW108" i="1"/>
  <c r="AZ108" i="1" l="1" a="1"/>
  <c r="AZ108" i="1" s="1"/>
  <c r="BA108" i="1" s="1"/>
  <c r="AV109" i="1" s="1"/>
  <c r="AW109" i="1" l="1"/>
  <c r="AX109" i="1"/>
  <c r="AY109" i="1"/>
  <c r="AZ109" i="1" l="1" a="1"/>
  <c r="AZ109" i="1" s="1"/>
  <c r="BA109" i="1" s="1"/>
  <c r="AV110" i="1" s="1"/>
  <c r="AW110" i="1" l="1"/>
  <c r="AX110" i="1"/>
  <c r="AY110" i="1"/>
  <c r="AZ110" i="1" l="1" a="1"/>
  <c r="AZ110" i="1" s="1"/>
  <c r="BA110" i="1" s="1"/>
  <c r="AV111" i="1" s="1"/>
  <c r="AW111" i="1" l="1"/>
  <c r="AX111" i="1"/>
  <c r="AY111" i="1"/>
  <c r="AZ111" i="1" l="1" a="1"/>
  <c r="AZ111" i="1" s="1"/>
  <c r="BA111" i="1" s="1"/>
  <c r="AV112" i="1" s="1"/>
  <c r="AX112" i="1" l="1"/>
  <c r="AW112" i="1"/>
  <c r="AY112" i="1"/>
  <c r="AZ112" i="1" l="1" a="1"/>
  <c r="AZ112" i="1" s="1"/>
  <c r="BA112" i="1" s="1"/>
  <c r="AV113" i="1" s="1"/>
  <c r="AX113" i="1" s="1"/>
  <c r="AY113" i="1" l="1"/>
  <c r="AW113" i="1"/>
  <c r="AZ113" i="1" a="1"/>
  <c r="AZ113" i="1" s="1"/>
  <c r="BA113" i="1" s="1"/>
  <c r="AV114" i="1" s="1"/>
  <c r="AX114" i="1" s="1"/>
  <c r="AW114" i="1"/>
  <c r="AY114" i="1" l="1"/>
  <c r="AZ114" i="1" a="1"/>
  <c r="AZ114" i="1" s="1"/>
  <c r="BA114" i="1" s="1"/>
  <c r="AV115" i="1" s="1"/>
  <c r="AY115" i="1" s="1"/>
  <c r="AX115" i="1" l="1"/>
  <c r="AW115" i="1"/>
  <c r="AZ115" i="1" a="1"/>
  <c r="AZ115" i="1" s="1"/>
  <c r="BA115" i="1" s="1"/>
  <c r="AV116" i="1" s="1"/>
  <c r="AX116" i="1" s="1"/>
  <c r="AW116" i="1" l="1"/>
  <c r="AY116" i="1"/>
  <c r="AZ116" i="1" l="1" a="1"/>
  <c r="AZ116" i="1" s="1"/>
  <c r="BA116" i="1" s="1"/>
  <c r="AV117" i="1" s="1"/>
  <c r="AY117" i="1" l="1"/>
  <c r="AW117" i="1"/>
  <c r="AX117" i="1"/>
  <c r="AZ117" i="1" l="1" a="1"/>
  <c r="AZ117" i="1" s="1"/>
  <c r="BA117" i="1" s="1"/>
  <c r="AV118" i="1" s="1"/>
  <c r="AW118" i="1" s="1"/>
  <c r="AY118" i="1" l="1"/>
  <c r="AX118" i="1"/>
  <c r="AZ118" i="1" s="1" a="1"/>
  <c r="AZ118" i="1" s="1"/>
  <c r="BA118" i="1" s="1"/>
  <c r="AV119" i="1" s="1"/>
  <c r="AY119" i="1" l="1"/>
  <c r="AW119" i="1"/>
  <c r="AX119" i="1"/>
  <c r="AZ119" i="1" l="1" a="1"/>
  <c r="AZ119" i="1" s="1"/>
  <c r="BA119" i="1" s="1"/>
  <c r="AV120" i="1" s="1"/>
  <c r="AW120" i="1" l="1"/>
  <c r="AY120" i="1"/>
  <c r="AX120" i="1"/>
  <c r="AZ120" i="1" l="1" a="1"/>
  <c r="AZ120" i="1" s="1"/>
  <c r="BA120" i="1" s="1"/>
  <c r="AV121" i="1" s="1"/>
  <c r="AY121" i="1" l="1"/>
  <c r="AX121" i="1"/>
  <c r="AW121" i="1"/>
  <c r="AZ121" i="1" l="1" a="1"/>
  <c r="AZ121" i="1" s="1"/>
  <c r="BA121" i="1" s="1"/>
  <c r="AV122" i="1" s="1"/>
  <c r="AW122" i="1" s="1"/>
  <c r="AY122" i="1" l="1"/>
  <c r="AX122" i="1"/>
  <c r="AZ122" i="1" s="1" a="1"/>
  <c r="AZ122" i="1" s="1"/>
  <c r="BA122" i="1" s="1"/>
  <c r="AV123" i="1" s="1"/>
  <c r="AW123" i="1" s="1"/>
  <c r="AY123" i="1" l="1"/>
  <c r="AX123" i="1"/>
  <c r="AZ123" i="1" l="1" a="1"/>
  <c r="AZ123" i="1" s="1"/>
  <c r="BA123" i="1" s="1"/>
  <c r="AV124" i="1" s="1"/>
  <c r="AX124" i="1" s="1"/>
  <c r="AW124" i="1"/>
  <c r="AY124" i="1"/>
  <c r="AZ124" i="1" l="1" a="1"/>
  <c r="AZ124" i="1" s="1"/>
  <c r="BA124" i="1" s="1"/>
  <c r="AV125" i="1" s="1"/>
  <c r="AX125" i="1" l="1"/>
  <c r="AW125" i="1"/>
  <c r="AY125" i="1"/>
  <c r="AZ125" i="1" l="1" a="1"/>
  <c r="AZ125" i="1" s="1"/>
  <c r="BA125" i="1" s="1"/>
  <c r="AV126" i="1" s="1"/>
  <c r="AW126" i="1" l="1"/>
  <c r="AX126" i="1"/>
  <c r="AY126" i="1"/>
  <c r="AZ126" i="1" l="1" a="1"/>
  <c r="AZ126" i="1" s="1"/>
  <c r="BA126" i="1" s="1"/>
  <c r="AV127" i="1" s="1"/>
  <c r="AW127" i="1" l="1"/>
  <c r="AX127" i="1"/>
  <c r="AY127" i="1"/>
  <c r="AZ127" i="1" l="1" a="1"/>
  <c r="AZ127" i="1" s="1"/>
  <c r="BA127" i="1" s="1"/>
  <c r="AV128" i="1" s="1"/>
  <c r="AY128" i="1" l="1"/>
  <c r="AX128" i="1"/>
  <c r="AW128" i="1"/>
  <c r="AZ128" i="1" l="1" a="1"/>
  <c r="AZ128" i="1" s="1"/>
  <c r="BA128" i="1" s="1"/>
  <c r="AV129" i="1" s="1"/>
  <c r="AW129" i="1" s="1"/>
  <c r="AY129" i="1" l="1"/>
  <c r="AX129" i="1"/>
  <c r="AZ129" i="1" s="1" a="1"/>
  <c r="AZ129" i="1" s="1"/>
  <c r="BA129" i="1" s="1"/>
  <c r="AV130" i="1" s="1"/>
  <c r="AW130" i="1" s="1"/>
  <c r="AY130" i="1" l="1"/>
  <c r="AX130" i="1"/>
  <c r="AZ130" i="1" s="1" a="1"/>
  <c r="AZ130" i="1" s="1"/>
  <c r="BA130" i="1" s="1"/>
  <c r="AV131" i="1" s="1"/>
  <c r="AW131" i="1" l="1"/>
  <c r="AY131" i="1"/>
  <c r="AX131" i="1"/>
  <c r="AZ131" i="1" l="1" a="1"/>
  <c r="AZ131" i="1" s="1"/>
  <c r="BA131" i="1" s="1"/>
  <c r="AV132" i="1" s="1"/>
  <c r="AW132" i="1" s="1"/>
  <c r="AX132" i="1" l="1"/>
  <c r="AY132" i="1"/>
  <c r="AZ132" i="1" a="1"/>
  <c r="AZ132" i="1" s="1"/>
  <c r="BA132" i="1" s="1"/>
  <c r="AV133" i="1" s="1"/>
  <c r="AW133" i="1" l="1"/>
  <c r="AX133" i="1"/>
  <c r="AY133" i="1"/>
  <c r="AZ133" i="1" l="1" a="1"/>
  <c r="AZ133" i="1" s="1"/>
  <c r="BA133" i="1" s="1"/>
  <c r="AV134" i="1" s="1"/>
  <c r="AX134" i="1" l="1"/>
  <c r="AW134" i="1"/>
  <c r="AY134" i="1"/>
  <c r="AZ134" i="1" l="1" a="1"/>
  <c r="AZ134" i="1" s="1"/>
  <c r="BA134" i="1" s="1"/>
  <c r="AV135" i="1" s="1"/>
  <c r="AW135" i="1" l="1"/>
  <c r="AX135" i="1"/>
  <c r="AY135" i="1"/>
  <c r="AZ135" i="1" l="1" a="1"/>
  <c r="AZ135" i="1" s="1"/>
  <c r="BA135" i="1" s="1"/>
  <c r="AV136" i="1" s="1"/>
  <c r="AW136" i="1" l="1"/>
  <c r="AY136" i="1"/>
  <c r="AX136" i="1"/>
  <c r="AZ136" i="1" l="1" a="1"/>
  <c r="AZ136" i="1" s="1"/>
  <c r="BA136" i="1" s="1"/>
  <c r="AV137" i="1" s="1"/>
  <c r="AW137" i="1" l="1"/>
  <c r="AX137" i="1"/>
  <c r="AY137" i="1"/>
  <c r="AZ137" i="1" l="1" a="1"/>
  <c r="AZ137" i="1" s="1"/>
  <c r="BA137" i="1" s="1"/>
  <c r="AV138" i="1" s="1"/>
  <c r="AY138" i="1" l="1"/>
  <c r="AX138" i="1"/>
  <c r="AW138" i="1"/>
  <c r="AZ138" i="1" l="1" a="1"/>
  <c r="AZ138" i="1" s="1"/>
  <c r="BA138" i="1" s="1"/>
  <c r="AV139" i="1" s="1"/>
  <c r="AX139" i="1" s="1"/>
  <c r="AW139" i="1" l="1"/>
  <c r="AY139" i="1"/>
  <c r="AZ139" i="1" a="1"/>
  <c r="AZ139" i="1" s="1"/>
  <c r="BA139" i="1" s="1"/>
  <c r="AV140" i="1" s="1"/>
  <c r="AW140" i="1" s="1"/>
  <c r="AX140" i="1" l="1"/>
  <c r="AY140" i="1"/>
  <c r="AZ140" i="1" l="1" a="1"/>
  <c r="AZ140" i="1" s="1"/>
  <c r="BA140" i="1" s="1"/>
  <c r="AV141" i="1" s="1"/>
  <c r="AY141" i="1" s="1"/>
  <c r="AW141" i="1" l="1"/>
  <c r="AX141" i="1"/>
  <c r="AZ141" i="1" a="1"/>
  <c r="AZ141" i="1" s="1"/>
  <c r="BA141" i="1" s="1"/>
  <c r="AV142" i="1" s="1"/>
  <c r="AY142" i="1" s="1"/>
  <c r="AX142" i="1" l="1"/>
  <c r="AW142" i="1"/>
  <c r="AZ142" i="1" s="1" a="1"/>
  <c r="AZ142" i="1" s="1"/>
  <c r="BA142" i="1" s="1"/>
  <c r="AV143" i="1" s="1"/>
  <c r="AW143" i="1" s="1"/>
  <c r="AZ143" i="1" l="1" a="1"/>
  <c r="AZ143" i="1" s="1"/>
  <c r="BA143" i="1" s="1"/>
  <c r="AV144" i="1" s="1"/>
  <c r="AY144" i="1" s="1"/>
  <c r="AY143" i="1"/>
  <c r="AX143" i="1"/>
  <c r="AX144" i="1" l="1"/>
  <c r="AW144" i="1"/>
  <c r="AZ144" i="1" s="1" a="1"/>
  <c r="AZ144" i="1" s="1"/>
  <c r="BA144" i="1" s="1"/>
  <c r="AV145" i="1" s="1"/>
  <c r="AW145" i="1" s="1"/>
  <c r="AY145" i="1" l="1"/>
  <c r="AX145" i="1"/>
  <c r="AZ145" i="1" s="1" a="1"/>
  <c r="AZ145" i="1" s="1"/>
  <c r="BA145" i="1" s="1"/>
  <c r="AV146" i="1" s="1"/>
  <c r="AX146" i="1" l="1"/>
  <c r="AY146" i="1"/>
  <c r="AW146" i="1"/>
  <c r="AZ146" i="1" l="1" a="1"/>
  <c r="AZ146" i="1" s="1"/>
  <c r="BA146" i="1" s="1"/>
  <c r="AV147" i="1" s="1"/>
  <c r="AX147" i="1" l="1"/>
  <c r="AW147" i="1"/>
  <c r="AY147" i="1"/>
  <c r="AZ147" i="1" l="1" a="1"/>
  <c r="AZ147" i="1" s="1"/>
  <c r="BA147" i="1" s="1"/>
  <c r="AV148" i="1" s="1"/>
  <c r="AW148" i="1" l="1"/>
  <c r="AY148" i="1"/>
  <c r="AX148" i="1"/>
  <c r="AZ148" i="1" l="1" a="1"/>
  <c r="AZ148" i="1" s="1"/>
  <c r="BA148" i="1" s="1"/>
  <c r="AV149" i="1" s="1"/>
  <c r="AY149" i="1" l="1"/>
  <c r="AX149" i="1"/>
  <c r="AW149" i="1"/>
  <c r="AZ149" i="1" l="1" a="1"/>
  <c r="AZ149" i="1" s="1"/>
  <c r="BA149" i="1" s="1"/>
  <c r="AV150" i="1" s="1"/>
  <c r="AW150" i="1" s="1"/>
  <c r="AY150" i="1" l="1"/>
  <c r="AX150" i="1"/>
  <c r="AZ150" i="1" s="1" a="1"/>
  <c r="AZ150" i="1" s="1"/>
  <c r="BA150" i="1" s="1"/>
  <c r="AV151" i="1" s="1"/>
  <c r="AX151" i="1" l="1"/>
  <c r="AY151" i="1"/>
  <c r="AW151" i="1"/>
  <c r="AZ151" i="1" l="1" a="1"/>
  <c r="AZ151" i="1" s="1"/>
  <c r="BA151" i="1" s="1"/>
  <c r="AV152" i="1" s="1"/>
  <c r="AX152" i="1" s="1"/>
  <c r="AW152" i="1" l="1"/>
  <c r="AZ152" i="1" s="1" a="1"/>
  <c r="AZ152" i="1" s="1"/>
  <c r="BA152" i="1" s="1"/>
  <c r="AV153" i="1" s="1"/>
  <c r="AY152" i="1"/>
  <c r="AY153" i="1" l="1"/>
  <c r="AW153" i="1"/>
  <c r="AX153" i="1"/>
  <c r="AZ153" i="1" l="1" a="1"/>
  <c r="AZ153" i="1" s="1"/>
  <c r="BA153" i="1" s="1"/>
  <c r="AV154" i="1" s="1"/>
  <c r="AY154" i="1" l="1"/>
  <c r="AX154" i="1"/>
  <c r="AW154" i="1"/>
  <c r="AZ154" i="1" s="1" a="1"/>
  <c r="AZ154" i="1" s="1"/>
  <c r="BA154" i="1" s="1"/>
  <c r="AV155" i="1" s="1"/>
  <c r="AY155" i="1" l="1"/>
  <c r="AW155" i="1"/>
  <c r="AX155" i="1"/>
  <c r="AZ155" i="1" l="1" a="1"/>
  <c r="AZ155" i="1" s="1"/>
  <c r="BA155" i="1" s="1"/>
  <c r="AV156" i="1" s="1"/>
  <c r="AW156" i="1" l="1"/>
  <c r="AY156" i="1"/>
  <c r="AX156" i="1"/>
  <c r="AZ156" i="1" l="1" a="1"/>
  <c r="AZ156" i="1" s="1"/>
  <c r="BA156" i="1" s="1"/>
  <c r="AV157" i="1" s="1"/>
  <c r="AY157" i="1" l="1"/>
  <c r="AX157" i="1"/>
  <c r="AW157" i="1"/>
  <c r="AZ157" i="1" s="1" a="1"/>
  <c r="AZ157" i="1" s="1"/>
  <c r="BA157" i="1" s="1"/>
  <c r="AV158" i="1" s="1"/>
  <c r="AW158" i="1" s="1"/>
  <c r="AY158" i="1" l="1"/>
  <c r="AX158" i="1"/>
  <c r="AZ158" i="1" a="1"/>
  <c r="AZ158" i="1" s="1"/>
  <c r="BA158" i="1" s="1"/>
  <c r="AV159" i="1" s="1"/>
  <c r="AX159" i="1" l="1"/>
  <c r="AY159" i="1"/>
  <c r="AW159" i="1"/>
  <c r="AZ159" i="1" s="1" a="1"/>
  <c r="AZ159" i="1" s="1"/>
  <c r="BA159" i="1" s="1"/>
  <c r="AV160" i="1" s="1"/>
  <c r="AX160" i="1" l="1"/>
  <c r="AY160" i="1"/>
  <c r="AW160" i="1"/>
  <c r="AZ160" i="1" s="1" a="1"/>
  <c r="AZ160" i="1" s="1"/>
  <c r="BA160" i="1" s="1"/>
  <c r="AV161" i="1" s="1"/>
  <c r="AW161" i="1" s="1"/>
  <c r="AY161" i="1" l="1"/>
  <c r="AX161" i="1"/>
  <c r="AZ161" i="1" a="1"/>
  <c r="AZ161" i="1" s="1"/>
  <c r="BA161" i="1" s="1"/>
  <c r="AV162" i="1" s="1"/>
  <c r="AW162" i="1" l="1"/>
  <c r="AX162" i="1"/>
  <c r="AY162" i="1"/>
  <c r="AZ162" i="1" l="1" a="1"/>
  <c r="AZ162" i="1" s="1"/>
  <c r="BA162" i="1" s="1"/>
  <c r="AV163" i="1" s="1"/>
  <c r="AW163" i="1" l="1"/>
  <c r="AY163" i="1"/>
  <c r="AX163" i="1"/>
  <c r="AZ163" i="1" l="1" a="1"/>
  <c r="AZ163" i="1" s="1"/>
  <c r="BA163" i="1" s="1"/>
  <c r="AV164" i="1" s="1"/>
  <c r="AX164" i="1" l="1"/>
  <c r="AW164" i="1"/>
  <c r="AY164" i="1"/>
  <c r="AZ164" i="1" l="1" a="1"/>
  <c r="AZ164" i="1" s="1"/>
  <c r="BA164" i="1" s="1"/>
  <c r="AV165" i="1" s="1"/>
  <c r="AY165" i="1" l="1"/>
  <c r="AW165" i="1"/>
  <c r="AX165" i="1"/>
  <c r="AZ165" i="1" l="1" a="1"/>
  <c r="AZ165" i="1" s="1"/>
  <c r="BA165" i="1" s="1"/>
  <c r="AV166" i="1" s="1"/>
  <c r="AY166" i="1" l="1"/>
  <c r="AW166" i="1"/>
  <c r="AX166" i="1"/>
  <c r="AZ166" i="1" l="1" a="1"/>
  <c r="AZ166" i="1" s="1"/>
  <c r="BA166" i="1" s="1"/>
  <c r="AV167" i="1" s="1"/>
  <c r="AY167" i="1" s="1"/>
  <c r="AX167" i="1" l="1"/>
  <c r="AW167" i="1"/>
  <c r="AZ167" i="1" a="1"/>
  <c r="AZ167" i="1" s="1"/>
  <c r="BA167" i="1" s="1"/>
  <c r="AV168" i="1" s="1"/>
  <c r="AX168" i="1" l="1"/>
  <c r="AW168" i="1"/>
  <c r="AY168" i="1"/>
  <c r="AZ168" i="1" l="1" a="1"/>
  <c r="AZ168" i="1" s="1"/>
  <c r="BA168" i="1" s="1"/>
  <c r="AV169" i="1" s="1"/>
  <c r="AX169" i="1" s="1"/>
  <c r="AW169" i="1" l="1"/>
  <c r="AY169" i="1"/>
  <c r="AZ169" i="1" a="1"/>
  <c r="AZ169" i="1" s="1"/>
  <c r="BA169" i="1" s="1"/>
  <c r="AV170" i="1" s="1"/>
  <c r="AX170" i="1" s="1"/>
  <c r="AY170" i="1" l="1"/>
  <c r="AW170" i="1"/>
  <c r="AZ170" i="1" s="1" a="1"/>
  <c r="AZ170" i="1" s="1"/>
  <c r="BA170" i="1" s="1"/>
  <c r="AV171" i="1" s="1"/>
  <c r="AW171" i="1" l="1"/>
  <c r="AX171" i="1"/>
  <c r="AY171" i="1"/>
  <c r="AZ171" i="1" l="1" a="1"/>
  <c r="AZ171" i="1" s="1"/>
  <c r="BA171" i="1" s="1"/>
  <c r="AV172" i="1" s="1"/>
  <c r="AX172" i="1" l="1"/>
  <c r="AW172" i="1"/>
  <c r="AY172" i="1"/>
  <c r="AZ172" i="1" l="1" a="1"/>
  <c r="AZ172" i="1" s="1"/>
  <c r="BA172" i="1" s="1"/>
  <c r="AV173" i="1" s="1"/>
  <c r="AY173" i="1" l="1"/>
  <c r="AX173" i="1"/>
  <c r="AW173" i="1"/>
  <c r="AZ173" i="1" l="1" a="1"/>
  <c r="AZ173" i="1" s="1"/>
  <c r="BA173" i="1" s="1"/>
  <c r="AV174" i="1" s="1"/>
  <c r="AW174" i="1" s="1"/>
  <c r="AY174" i="1" l="1"/>
  <c r="AX174" i="1"/>
  <c r="AZ174" i="1" l="1" a="1"/>
  <c r="AZ174" i="1" s="1"/>
  <c r="BA174" i="1" s="1"/>
  <c r="AV175" i="1" s="1"/>
  <c r="AX175" i="1" s="1"/>
  <c r="AW175" i="1" l="1"/>
  <c r="AZ175" i="1" s="1" a="1"/>
  <c r="AZ175" i="1" s="1"/>
  <c r="BA175" i="1" s="1"/>
  <c r="AV176" i="1" s="1"/>
  <c r="AY175" i="1"/>
  <c r="AX176" i="1" l="1"/>
  <c r="AY176" i="1"/>
  <c r="AW176" i="1"/>
  <c r="AZ176" i="1" s="1" a="1"/>
  <c r="AZ176" i="1" s="1"/>
  <c r="BA176" i="1" s="1"/>
  <c r="AV177" i="1" s="1"/>
  <c r="AY177" i="1" l="1"/>
  <c r="AW177" i="1"/>
  <c r="AX177" i="1"/>
  <c r="AZ177" i="1" l="1" a="1"/>
  <c r="AZ177" i="1" s="1"/>
  <c r="BA177" i="1" s="1"/>
  <c r="AV178" i="1" s="1"/>
  <c r="AW178" i="1" l="1"/>
  <c r="AX178" i="1"/>
  <c r="AY178" i="1"/>
  <c r="AZ178" i="1" l="1" a="1"/>
  <c r="AZ178" i="1" s="1"/>
  <c r="BA178" i="1" s="1"/>
  <c r="AV179" i="1" s="1"/>
  <c r="AW179" i="1" l="1"/>
  <c r="AY179" i="1"/>
  <c r="AX179" i="1"/>
  <c r="AZ179" i="1" l="1" a="1"/>
  <c r="AZ179" i="1" s="1"/>
  <c r="BA179" i="1" s="1"/>
  <c r="AV180" i="1" s="1"/>
  <c r="AX180" i="1" l="1"/>
  <c r="AW180" i="1"/>
  <c r="AY180" i="1"/>
  <c r="AZ180" i="1" l="1" a="1"/>
  <c r="AZ180" i="1" s="1"/>
  <c r="BA180" i="1" s="1"/>
  <c r="AV181" i="1" s="1"/>
  <c r="AY181" i="1" l="1"/>
  <c r="AW181" i="1"/>
  <c r="AX181" i="1"/>
  <c r="AZ181" i="1" l="1" a="1"/>
  <c r="AZ181" i="1" s="1"/>
  <c r="BA181" i="1" s="1"/>
  <c r="AV182" i="1" s="1"/>
  <c r="AX182" i="1" l="1"/>
  <c r="AW182" i="1"/>
  <c r="AY182" i="1"/>
  <c r="AZ182" i="1" l="1" a="1"/>
  <c r="AZ182" i="1" s="1"/>
  <c r="BA182" i="1" s="1"/>
  <c r="AV183" i="1" s="1"/>
  <c r="AY183" i="1" l="1"/>
  <c r="AW183" i="1"/>
  <c r="AX183" i="1"/>
  <c r="AZ183" i="1" l="1" a="1"/>
  <c r="AZ183" i="1" s="1"/>
  <c r="BA183" i="1" s="1"/>
  <c r="AV184" i="1" s="1"/>
  <c r="AY184" i="1" s="1"/>
  <c r="AX184" i="1" l="1"/>
  <c r="AW184" i="1"/>
  <c r="AZ184" i="1" s="1" a="1"/>
  <c r="AZ184" i="1" s="1"/>
  <c r="BA184" i="1" s="1"/>
  <c r="AV185" i="1" s="1"/>
  <c r="AY185" i="1" s="1"/>
  <c r="AW185" i="1"/>
  <c r="AX185" i="1"/>
  <c r="AZ185" i="1" l="1" a="1"/>
  <c r="AZ185" i="1" s="1"/>
  <c r="BA185" i="1" s="1"/>
  <c r="AV186" i="1" s="1"/>
  <c r="AX186" i="1" l="1"/>
  <c r="AW186" i="1"/>
  <c r="AY186" i="1"/>
  <c r="AZ186" i="1" l="1" a="1"/>
  <c r="AZ186" i="1" s="1"/>
  <c r="BA186" i="1" s="1"/>
  <c r="AV187" i="1" s="1"/>
  <c r="AY187" i="1" l="1"/>
  <c r="AX187" i="1"/>
  <c r="AW187" i="1"/>
  <c r="AZ187" i="1" l="1" a="1"/>
  <c r="AZ187" i="1" s="1"/>
  <c r="BA187" i="1" s="1"/>
  <c r="AV188" i="1" s="1"/>
  <c r="AX188" i="1" s="1"/>
  <c r="AW188" i="1" l="1"/>
  <c r="AY188" i="1"/>
  <c r="AZ188" i="1" l="1" a="1"/>
  <c r="AZ188" i="1" s="1"/>
  <c r="BA188" i="1" s="1"/>
  <c r="AV189" i="1" s="1"/>
  <c r="AW189" i="1" s="1"/>
  <c r="AX189" i="1" l="1"/>
  <c r="AZ189" i="1" s="1" a="1"/>
  <c r="AZ189" i="1" s="1"/>
  <c r="BA189" i="1" s="1"/>
  <c r="AV190" i="1" s="1"/>
  <c r="AW190" i="1" s="1"/>
  <c r="AY189" i="1"/>
  <c r="AX190" i="1" l="1"/>
  <c r="AY190" i="1"/>
  <c r="AZ190" i="1" l="1" a="1"/>
  <c r="AZ190" i="1" s="1"/>
  <c r="BA190" i="1" s="1"/>
  <c r="AV191" i="1" s="1"/>
  <c r="AW191" i="1" s="1"/>
  <c r="AY191" i="1" l="1"/>
  <c r="AX191" i="1"/>
  <c r="AZ191" i="1" s="1" a="1"/>
  <c r="AZ191" i="1" s="1"/>
  <c r="BA191" i="1" s="1"/>
  <c r="AV192" i="1" s="1"/>
  <c r="AX192" i="1" l="1"/>
  <c r="AY192" i="1"/>
  <c r="AW192" i="1"/>
  <c r="AZ192" i="1" a="1"/>
  <c r="AZ192" i="1" s="1"/>
  <c r="BA192" i="1" s="1"/>
  <c r="AV193" i="1" s="1"/>
  <c r="AW193" i="1" s="1"/>
  <c r="AX193" i="1" l="1"/>
  <c r="AZ193" i="1" s="1" a="1"/>
  <c r="AZ193" i="1" s="1"/>
  <c r="BA193" i="1" s="1"/>
  <c r="AV194" i="1" s="1"/>
  <c r="AY193" i="1"/>
  <c r="AX194" i="1" l="1"/>
  <c r="AW194" i="1"/>
  <c r="AY194" i="1"/>
  <c r="AZ194" i="1" l="1" a="1"/>
  <c r="AZ194" i="1" s="1"/>
  <c r="BA194" i="1" s="1"/>
  <c r="AV195" i="1" s="1"/>
  <c r="AY195" i="1" s="1"/>
  <c r="AX195" i="1" l="1"/>
  <c r="AW195" i="1"/>
  <c r="AZ195" i="1" l="1" a="1"/>
  <c r="AZ195" i="1" s="1"/>
  <c r="BA195" i="1" s="1"/>
  <c r="AV196" i="1" s="1"/>
  <c r="AY196" i="1" s="1"/>
  <c r="AX196" i="1" l="1"/>
  <c r="AW196" i="1"/>
  <c r="AZ196" i="1" a="1"/>
  <c r="AZ196" i="1" s="1"/>
  <c r="BA196" i="1" s="1"/>
  <c r="AV197" i="1" s="1"/>
  <c r="AW197" i="1" l="1"/>
  <c r="AX197" i="1"/>
  <c r="AY197" i="1"/>
  <c r="AZ197" i="1" l="1" a="1"/>
  <c r="AZ197" i="1" s="1"/>
  <c r="BA197" i="1" s="1"/>
  <c r="AV198" i="1" s="1"/>
  <c r="AX198" i="1" l="1"/>
  <c r="AW198" i="1"/>
  <c r="AY198" i="1"/>
  <c r="AZ198" i="1" l="1" a="1"/>
  <c r="AZ198" i="1" s="1"/>
  <c r="BA198" i="1" s="1"/>
  <c r="AV199" i="1" s="1"/>
  <c r="AY199" i="1" l="1"/>
  <c r="AW199" i="1"/>
  <c r="AX199" i="1"/>
  <c r="AZ199" i="1" l="1" a="1"/>
  <c r="AZ199" i="1" s="1"/>
  <c r="BA199" i="1" s="1"/>
  <c r="AV200" i="1" s="1"/>
  <c r="AX200" i="1" l="1"/>
  <c r="AY200" i="1"/>
  <c r="AW200" i="1"/>
  <c r="AZ200" i="1" l="1" a="1"/>
  <c r="AZ200" i="1" s="1"/>
  <c r="BA200" i="1" s="1"/>
  <c r="AV201" i="1" s="1"/>
  <c r="AW201" i="1" l="1"/>
  <c r="AX201" i="1"/>
  <c r="AY201" i="1"/>
  <c r="AZ201" i="1" l="1" a="1"/>
  <c r="AZ201" i="1" s="1"/>
  <c r="BA201" i="1" s="1"/>
  <c r="AV202" i="1" s="1"/>
  <c r="AX202" i="1" s="1"/>
  <c r="AY202" i="1" l="1"/>
  <c r="AW202" i="1"/>
  <c r="AZ202" i="1" l="1" a="1"/>
  <c r="AZ202" i="1" s="1"/>
  <c r="BA202" i="1" s="1"/>
  <c r="AV203" i="1" s="1"/>
  <c r="AY203" i="1" s="1"/>
  <c r="AW203" i="1" l="1"/>
  <c r="AX203" i="1"/>
  <c r="AZ203" i="1" l="1" a="1"/>
  <c r="AZ203" i="1" s="1"/>
  <c r="BA203" i="1" s="1"/>
  <c r="AV204" i="1" s="1"/>
  <c r="AY204" i="1" l="1"/>
  <c r="AW204" i="1"/>
  <c r="AZ204" i="1" s="1" a="1"/>
  <c r="AZ204" i="1" s="1"/>
  <c r="BA204" i="1" s="1"/>
  <c r="AV205" i="1" s="1"/>
  <c r="AX205" i="1" s="1"/>
  <c r="AX204" i="1"/>
  <c r="AW205" i="1" l="1"/>
  <c r="AY205" i="1"/>
  <c r="AZ205" i="1" a="1"/>
  <c r="AZ205" i="1" s="1"/>
  <c r="BA205" i="1" s="1"/>
  <c r="AV206" i="1" s="1"/>
  <c r="AX206" i="1" l="1"/>
  <c r="AY206" i="1"/>
  <c r="AW206" i="1"/>
  <c r="AZ206" i="1" l="1" a="1"/>
  <c r="AZ206" i="1" s="1"/>
  <c r="BA206" i="1" s="1"/>
  <c r="AV207" i="1" s="1"/>
  <c r="AY207" i="1" l="1"/>
  <c r="AW207" i="1"/>
  <c r="AX207" i="1"/>
  <c r="AZ207" i="1" l="1" a="1"/>
  <c r="AZ207" i="1" s="1"/>
  <c r="BA207" i="1" s="1"/>
  <c r="AV208" i="1" s="1"/>
  <c r="AW208" i="1" l="1"/>
  <c r="AX208" i="1"/>
  <c r="AY208" i="1"/>
  <c r="AZ208" i="1" l="1" a="1"/>
  <c r="AZ208" i="1" s="1"/>
  <c r="BA208" i="1" s="1"/>
  <c r="AV209" i="1" s="1"/>
  <c r="AW209" i="1" l="1"/>
  <c r="AY209" i="1"/>
  <c r="AX209" i="1"/>
  <c r="AZ209" i="1" l="1" a="1"/>
  <c r="AZ209" i="1" s="1"/>
  <c r="BA209" i="1" s="1"/>
  <c r="AV210" i="1" s="1"/>
  <c r="AX210" i="1" l="1"/>
  <c r="AW210" i="1"/>
  <c r="AY210" i="1"/>
  <c r="AZ210" i="1" l="1" a="1"/>
  <c r="AZ210" i="1" s="1"/>
  <c r="BA210" i="1" s="1"/>
  <c r="AV211" i="1" s="1"/>
  <c r="AY211" i="1" l="1"/>
  <c r="AW211" i="1"/>
  <c r="AX211" i="1"/>
  <c r="AZ211" i="1" l="1" a="1"/>
  <c r="AZ211" i="1" s="1"/>
  <c r="BA211" i="1" s="1"/>
  <c r="AV212" i="1" s="1"/>
  <c r="AY212" i="1" l="1"/>
  <c r="AW212" i="1"/>
  <c r="AX212" i="1"/>
  <c r="AZ212" i="1" l="1" a="1"/>
  <c r="AZ212" i="1" s="1"/>
  <c r="BA212" i="1" s="1"/>
  <c r="AV213" i="1" s="1"/>
  <c r="AW213" i="1" l="1"/>
  <c r="AX213" i="1"/>
  <c r="AY213" i="1"/>
  <c r="AZ213" i="1" l="1" a="1"/>
  <c r="AZ213" i="1" s="1"/>
  <c r="BA213" i="1" s="1"/>
  <c r="AV214" i="1" s="1"/>
  <c r="AX214" i="1" l="1"/>
  <c r="AW214" i="1"/>
  <c r="AY214" i="1"/>
  <c r="AZ214" i="1" l="1" a="1"/>
  <c r="AZ214" i="1" s="1"/>
  <c r="BA214" i="1" s="1"/>
  <c r="AV215" i="1" s="1"/>
  <c r="AY215" i="1" s="1"/>
  <c r="AX215" i="1" l="1"/>
  <c r="AW215" i="1"/>
  <c r="AZ215" i="1" s="1" a="1"/>
  <c r="AZ215" i="1" s="1"/>
  <c r="BA215" i="1" s="1"/>
  <c r="AV216" i="1" s="1"/>
  <c r="AX216" i="1" l="1"/>
  <c r="AY216" i="1"/>
  <c r="AW216" i="1"/>
  <c r="AZ216" i="1" s="1" a="1"/>
  <c r="AZ216" i="1" s="1"/>
  <c r="BA216" i="1" s="1"/>
  <c r="AV217" i="1" s="1"/>
  <c r="AW217" i="1" l="1"/>
  <c r="AX217" i="1"/>
  <c r="AY217" i="1"/>
  <c r="AZ217" i="1" l="1" a="1"/>
  <c r="AZ217" i="1" s="1"/>
  <c r="BA217" i="1" s="1"/>
  <c r="AV218" i="1" s="1"/>
  <c r="AX218" i="1" l="1"/>
  <c r="AW218" i="1"/>
  <c r="AY218" i="1"/>
  <c r="AZ218" i="1" l="1" a="1"/>
  <c r="AZ218" i="1" s="1"/>
  <c r="BA218" i="1" s="1"/>
  <c r="AV219" i="1" s="1"/>
  <c r="AX219" i="1" s="1"/>
  <c r="AY219" i="1" l="1"/>
  <c r="AW219" i="1"/>
  <c r="AZ219" i="1" s="1" a="1"/>
  <c r="AZ219" i="1" s="1"/>
  <c r="BA219" i="1" s="1"/>
  <c r="AV220" i="1" s="1"/>
  <c r="AY220" i="1" s="1"/>
  <c r="AW220" i="1"/>
  <c r="AX220" i="1"/>
  <c r="AZ220" i="1" l="1" a="1"/>
  <c r="AZ220" i="1" s="1"/>
  <c r="BA220" i="1" s="1"/>
  <c r="AV221" i="1" s="1"/>
  <c r="AW221" i="1" l="1"/>
  <c r="AX221" i="1"/>
  <c r="AY221" i="1"/>
  <c r="AZ221" i="1" l="1" a="1"/>
  <c r="AZ221" i="1" s="1"/>
  <c r="BA221" i="1" s="1"/>
  <c r="AV222" i="1" s="1"/>
  <c r="AX222" i="1" l="1"/>
  <c r="AY222" i="1"/>
  <c r="AW222" i="1"/>
  <c r="AZ222" i="1" s="1" a="1"/>
  <c r="AZ222" i="1" s="1"/>
  <c r="BA222" i="1" s="1"/>
  <c r="AV223" i="1" s="1"/>
  <c r="AY223" i="1" l="1"/>
  <c r="AW223" i="1"/>
  <c r="AX223" i="1"/>
  <c r="AZ223" i="1" l="1" a="1"/>
  <c r="AZ223" i="1" s="1"/>
  <c r="BA223" i="1" s="1"/>
  <c r="AV224" i="1" s="1"/>
  <c r="AW224" i="1" l="1"/>
  <c r="AX224" i="1"/>
  <c r="AY224" i="1"/>
  <c r="AZ224" i="1" l="1" a="1"/>
  <c r="AZ224" i="1" s="1"/>
  <c r="BA224" i="1" s="1"/>
  <c r="AV225" i="1" s="1"/>
  <c r="AW225" i="1" l="1"/>
  <c r="AY225" i="1"/>
  <c r="AX225" i="1"/>
  <c r="AZ225" i="1" l="1" a="1"/>
  <c r="AZ225" i="1" s="1"/>
  <c r="BA225" i="1" s="1"/>
  <c r="AV226" i="1" s="1"/>
  <c r="AX226" i="1" l="1"/>
  <c r="AW226" i="1"/>
  <c r="AY226" i="1"/>
  <c r="AZ226" i="1" l="1" a="1"/>
  <c r="AZ226" i="1" s="1"/>
  <c r="BA226" i="1" s="1"/>
  <c r="AV227" i="1" s="1"/>
  <c r="AY227" i="1" l="1"/>
  <c r="AW227" i="1"/>
  <c r="AX227" i="1"/>
  <c r="AZ227" i="1" l="1" a="1"/>
  <c r="AZ227" i="1" s="1"/>
  <c r="BA227" i="1" s="1"/>
  <c r="AV228" i="1" s="1"/>
  <c r="AY228" i="1" l="1"/>
  <c r="AW228" i="1"/>
  <c r="AX228" i="1"/>
  <c r="AZ228" i="1" l="1" a="1"/>
  <c r="AZ228" i="1" s="1"/>
  <c r="BA228" i="1" s="1"/>
  <c r="AV229" i="1" s="1"/>
  <c r="AW229" i="1" l="1"/>
  <c r="AX229" i="1"/>
  <c r="AY229" i="1"/>
  <c r="AZ229" i="1" l="1" a="1"/>
  <c r="AZ229" i="1" s="1"/>
  <c r="BA229" i="1" s="1"/>
  <c r="AV230" i="1" s="1"/>
  <c r="AX230" i="1" l="1"/>
  <c r="AW230" i="1"/>
  <c r="AY230" i="1"/>
  <c r="AZ230" i="1" l="1" a="1"/>
  <c r="AZ230" i="1" s="1"/>
  <c r="BA230" i="1" s="1"/>
  <c r="AV231" i="1" s="1"/>
  <c r="AW231" i="1" s="1"/>
  <c r="AY231" i="1" l="1"/>
  <c r="AX231" i="1"/>
  <c r="AZ231" i="1" a="1"/>
  <c r="AZ231" i="1" s="1"/>
  <c r="BA231" i="1" s="1"/>
  <c r="AV232" i="1" s="1"/>
  <c r="AX232" i="1" l="1"/>
  <c r="AY232" i="1"/>
  <c r="AW232" i="1"/>
  <c r="AZ232" i="1" l="1" a="1"/>
  <c r="AZ232" i="1" s="1"/>
  <c r="BA232" i="1" s="1"/>
  <c r="AV233" i="1" s="1"/>
  <c r="AX233" i="1" s="1"/>
  <c r="AW233" i="1" l="1"/>
  <c r="AY233" i="1"/>
  <c r="AZ233" i="1" a="1"/>
  <c r="AZ233" i="1" s="1"/>
  <c r="BA233" i="1" s="1"/>
  <c r="AV234" i="1" s="1"/>
  <c r="AX234" i="1" l="1"/>
  <c r="AW234" i="1"/>
  <c r="AY234" i="1"/>
  <c r="AZ234" i="1" l="1" a="1"/>
  <c r="AZ234" i="1" s="1"/>
  <c r="BA234" i="1" s="1"/>
  <c r="AV235" i="1" s="1"/>
  <c r="AX235" i="1" s="1"/>
  <c r="AY235" i="1" l="1"/>
  <c r="AW235" i="1"/>
  <c r="AZ235" i="1" l="1" a="1"/>
  <c r="AZ235" i="1" s="1"/>
  <c r="BA235" i="1" s="1"/>
  <c r="AV236" i="1" s="1"/>
  <c r="AY236" i="1" l="1"/>
  <c r="AW236" i="1"/>
  <c r="AZ236" i="1" s="1" a="1"/>
  <c r="AZ236" i="1" s="1"/>
  <c r="BA236" i="1" s="1"/>
  <c r="AV237" i="1" s="1"/>
  <c r="AX237" i="1" s="1"/>
  <c r="AX236" i="1"/>
  <c r="AW237" i="1" l="1"/>
  <c r="AY237" i="1"/>
  <c r="AZ237" i="1" a="1"/>
  <c r="AZ237" i="1" s="1"/>
  <c r="BA237" i="1" s="1"/>
  <c r="AV238" i="1" s="1"/>
  <c r="AX238" i="1" s="1"/>
  <c r="AW238" i="1"/>
  <c r="AY238" i="1" l="1"/>
  <c r="AZ238" i="1" a="1"/>
  <c r="AZ238" i="1" s="1"/>
  <c r="BA238" i="1" s="1"/>
  <c r="AV239" i="1" s="1"/>
  <c r="AW239" i="1" s="1"/>
  <c r="AX239" i="1" l="1"/>
  <c r="AY239" i="1"/>
  <c r="AZ239" i="1" l="1" a="1"/>
  <c r="AZ239" i="1" s="1"/>
  <c r="BA239" i="1" s="1"/>
  <c r="AV240" i="1" s="1"/>
  <c r="AW240" i="1" s="1"/>
  <c r="AY240" i="1" l="1"/>
  <c r="AZ240" i="1" s="1" a="1"/>
  <c r="AZ240" i="1" s="1"/>
  <c r="BA240" i="1" s="1"/>
  <c r="AV241" i="1" s="1"/>
  <c r="AX240" i="1"/>
  <c r="AW241" i="1" l="1"/>
  <c r="AY241" i="1"/>
  <c r="AX241" i="1"/>
  <c r="AZ241" i="1" l="1" a="1"/>
  <c r="AZ241" i="1" s="1"/>
  <c r="BA241" i="1" s="1"/>
  <c r="AV242" i="1" s="1"/>
  <c r="AX242" i="1" l="1"/>
  <c r="AW242" i="1"/>
  <c r="AY242" i="1"/>
  <c r="AZ242" i="1" l="1" a="1"/>
  <c r="AZ242" i="1" s="1"/>
  <c r="BA242" i="1" s="1"/>
  <c r="AV243" i="1" s="1"/>
  <c r="AY243" i="1" l="1"/>
  <c r="AW243" i="1"/>
  <c r="AX243" i="1"/>
  <c r="AZ243" i="1" l="1" a="1"/>
  <c r="AZ243" i="1" s="1"/>
  <c r="BA243" i="1" s="1"/>
  <c r="AV244" i="1" s="1"/>
  <c r="AY244" i="1" l="1"/>
  <c r="AX244" i="1"/>
  <c r="AW244" i="1"/>
  <c r="AZ244" i="1" s="1" a="1"/>
  <c r="AZ244" i="1" s="1"/>
  <c r="BA244" i="1" s="1"/>
  <c r="AV245" i="1" s="1"/>
  <c r="AW245" i="1" l="1"/>
  <c r="AY245" i="1"/>
  <c r="AX245" i="1"/>
  <c r="AZ245" i="1" l="1" a="1"/>
  <c r="AZ245" i="1" s="1"/>
  <c r="BA245" i="1" s="1"/>
  <c r="AV246" i="1" s="1"/>
  <c r="AW246" i="1" s="1"/>
  <c r="AY246" i="1" l="1"/>
  <c r="AX246" i="1"/>
  <c r="AZ246" i="1" s="1" a="1"/>
  <c r="AZ246" i="1" s="1"/>
  <c r="BA246" i="1" s="1"/>
  <c r="AV247" i="1" s="1"/>
  <c r="AY247" i="1" l="1"/>
  <c r="AW247" i="1"/>
  <c r="AX247" i="1"/>
  <c r="AZ247" i="1" l="1" a="1"/>
  <c r="AZ247" i="1" s="1"/>
  <c r="BA247" i="1" s="1"/>
  <c r="AV248" i="1" s="1"/>
  <c r="AY248" i="1" s="1"/>
  <c r="AX248" i="1" l="1"/>
  <c r="AW248" i="1"/>
  <c r="AZ248" i="1" s="1" a="1"/>
  <c r="AZ248" i="1" s="1"/>
  <c r="BA248" i="1" s="1"/>
  <c r="AV249" i="1" s="1"/>
  <c r="AY249" i="1" s="1"/>
  <c r="AX249" i="1" l="1"/>
  <c r="AW249" i="1"/>
  <c r="AZ249" i="1" s="1" a="1"/>
  <c r="AZ249" i="1" s="1"/>
  <c r="BA249" i="1" s="1"/>
  <c r="AV250" i="1" s="1"/>
  <c r="AW250" i="1" l="1"/>
  <c r="AX250" i="1"/>
  <c r="AY250" i="1"/>
  <c r="AZ250" i="1" l="1" a="1"/>
  <c r="AZ250" i="1" s="1"/>
  <c r="BA250" i="1" s="1"/>
  <c r="AV251" i="1" s="1"/>
  <c r="AX251" i="1" l="1"/>
  <c r="AY251" i="1"/>
  <c r="AW251" i="1"/>
  <c r="AZ251" i="1" l="1" a="1"/>
  <c r="AZ251" i="1" s="1"/>
  <c r="BA251" i="1" s="1"/>
  <c r="AV252" i="1" s="1"/>
  <c r="AY252" i="1" l="1"/>
  <c r="AX252" i="1"/>
  <c r="AW252" i="1"/>
  <c r="AZ252" i="1" l="1" a="1"/>
  <c r="AZ252" i="1" s="1"/>
  <c r="BA252" i="1" s="1"/>
  <c r="AV253" i="1" s="1"/>
  <c r="AX253" i="1" s="1"/>
  <c r="AW253" i="1"/>
  <c r="AY253" i="1"/>
  <c r="AZ253" i="1" l="1" a="1"/>
  <c r="AZ253" i="1" s="1"/>
  <c r="BA253" i="1" s="1"/>
  <c r="AV254" i="1" s="1"/>
  <c r="AW254" i="1" l="1"/>
  <c r="AX254" i="1"/>
  <c r="AY254" i="1"/>
  <c r="AZ254" i="1" l="1" a="1"/>
  <c r="AZ254" i="1" s="1"/>
  <c r="BA254" i="1" s="1"/>
  <c r="AV255" i="1" s="1"/>
  <c r="AX255" i="1" l="1"/>
  <c r="AY255" i="1"/>
  <c r="AW255" i="1"/>
  <c r="AZ255" i="1" l="1" a="1"/>
  <c r="AZ255" i="1" s="1"/>
  <c r="BA255" i="1" s="1"/>
  <c r="AV256" i="1" s="1"/>
  <c r="AY256" i="1" s="1"/>
  <c r="AX256" i="1" l="1"/>
  <c r="AW256" i="1"/>
  <c r="AZ256" i="1" s="1" a="1"/>
  <c r="AZ256" i="1" s="1"/>
  <c r="BA256" i="1" s="1"/>
  <c r="AV257" i="1" s="1"/>
  <c r="AY257" i="1" s="1"/>
  <c r="AX257" i="1" l="1"/>
  <c r="AW257" i="1"/>
  <c r="AZ257" i="1" l="1" a="1"/>
  <c r="AZ257" i="1" s="1"/>
  <c r="BA257" i="1" s="1"/>
  <c r="AV258" i="1" s="1"/>
  <c r="AW258" i="1"/>
  <c r="AX258" i="1"/>
  <c r="AY258" i="1"/>
  <c r="AZ258" i="1" l="1" a="1"/>
  <c r="AZ258" i="1" s="1"/>
  <c r="BA258" i="1" s="1"/>
  <c r="AV259" i="1" s="1"/>
  <c r="AX259" i="1"/>
  <c r="AY259" i="1"/>
  <c r="AW259" i="1"/>
  <c r="AZ259" i="1" s="1" a="1"/>
  <c r="AZ259" i="1" s="1"/>
  <c r="BA259" i="1" s="1"/>
  <c r="AV260" i="1" s="1"/>
  <c r="AY260" i="1" l="1"/>
  <c r="AX260" i="1"/>
  <c r="AW260" i="1"/>
  <c r="AZ260" i="1" l="1" a="1"/>
  <c r="AZ260" i="1" s="1"/>
  <c r="BA260" i="1" s="1"/>
  <c r="AV261" i="1" s="1"/>
  <c r="AW261" i="1" s="1"/>
  <c r="AX261" i="1" l="1"/>
  <c r="AY261" i="1"/>
  <c r="AZ261" i="1" a="1"/>
  <c r="AZ261" i="1" s="1"/>
  <c r="BA261" i="1" s="1"/>
  <c r="AV262" i="1" s="1"/>
  <c r="AW262" i="1" l="1"/>
  <c r="AX262" i="1"/>
  <c r="AY262" i="1"/>
  <c r="AZ262" i="1" l="1" a="1"/>
  <c r="AZ262" i="1" s="1"/>
  <c r="BA262" i="1" s="1"/>
  <c r="AV263" i="1" s="1"/>
  <c r="AX263" i="1" l="1"/>
  <c r="AY263" i="1"/>
  <c r="AW263" i="1"/>
  <c r="AZ263" i="1" l="1" a="1"/>
  <c r="AZ263" i="1" s="1"/>
  <c r="BA263" i="1" s="1"/>
  <c r="AV264" i="1" s="1"/>
  <c r="AY264" i="1" l="1"/>
  <c r="AW264" i="1"/>
  <c r="AX264" i="1"/>
  <c r="AZ264" i="1" l="1" a="1"/>
  <c r="AZ264" i="1" s="1"/>
  <c r="BA264" i="1" s="1"/>
  <c r="AV265" i="1" s="1"/>
  <c r="AW265" i="1" l="1"/>
  <c r="AX265" i="1"/>
  <c r="AY265" i="1"/>
  <c r="AZ265" i="1" l="1" a="1"/>
  <c r="AZ265" i="1" s="1"/>
  <c r="BA265" i="1" s="1"/>
  <c r="AV266" i="1" s="1"/>
  <c r="AW266" i="1" l="1"/>
  <c r="AX266" i="1"/>
  <c r="AY266" i="1"/>
  <c r="AZ266" i="1" l="1" a="1"/>
  <c r="AZ266" i="1" s="1"/>
  <c r="BA266" i="1" s="1"/>
  <c r="AV267" i="1" s="1"/>
  <c r="AW267" i="1" l="1"/>
  <c r="AX267" i="1"/>
  <c r="AY267" i="1"/>
  <c r="AZ267" i="1" l="1" a="1"/>
  <c r="AZ267" i="1" s="1"/>
  <c r="BA267" i="1" s="1"/>
  <c r="AV268" i="1" s="1"/>
  <c r="AX268" i="1" l="1"/>
  <c r="AY268" i="1"/>
  <c r="AW268" i="1"/>
  <c r="AZ268" i="1" l="1" a="1"/>
  <c r="AZ268" i="1" s="1"/>
  <c r="BA268" i="1" s="1"/>
  <c r="AV269" i="1" s="1"/>
  <c r="AY269" i="1" l="1"/>
  <c r="AW269" i="1"/>
  <c r="AX269" i="1"/>
  <c r="AZ269" i="1" l="1" a="1"/>
  <c r="AZ269" i="1" s="1"/>
  <c r="BA269" i="1" s="1"/>
  <c r="AV270" i="1" s="1"/>
  <c r="AW270" i="1" l="1"/>
  <c r="AX270" i="1"/>
  <c r="AY270" i="1"/>
  <c r="AZ270" i="1" l="1" a="1"/>
  <c r="AZ270" i="1" s="1"/>
  <c r="BA270" i="1" s="1"/>
  <c r="AV271" i="1" s="1"/>
  <c r="AW271" i="1" l="1"/>
  <c r="AX271" i="1"/>
  <c r="AY271" i="1"/>
  <c r="AZ271" i="1" l="1" a="1"/>
  <c r="AZ271" i="1" s="1"/>
  <c r="BA271" i="1" s="1"/>
  <c r="AV272" i="1" s="1"/>
  <c r="AX272" i="1" l="1"/>
  <c r="AY272" i="1"/>
  <c r="AW272" i="1"/>
  <c r="AZ272" i="1" l="1" a="1"/>
  <c r="AZ272" i="1" s="1"/>
  <c r="BA272" i="1" s="1"/>
  <c r="AV273" i="1" s="1"/>
  <c r="AY273" i="1"/>
  <c r="AW273" i="1"/>
  <c r="AX273" i="1"/>
  <c r="AZ273" i="1" l="1" a="1"/>
  <c r="AZ273" i="1" s="1"/>
  <c r="BA273" i="1" s="1"/>
  <c r="AV274" i="1" s="1"/>
  <c r="AW274" i="1"/>
  <c r="AX274" i="1"/>
  <c r="AY274" i="1"/>
  <c r="AZ274" i="1" l="1" a="1"/>
  <c r="AZ274" i="1" s="1"/>
  <c r="BA274" i="1" s="1"/>
  <c r="AV275" i="1" s="1"/>
  <c r="AW275" i="1" l="1"/>
  <c r="AX275" i="1"/>
  <c r="AY275" i="1"/>
  <c r="AZ275" i="1" l="1" a="1"/>
  <c r="AZ275" i="1" s="1"/>
  <c r="BA275" i="1" s="1"/>
  <c r="AV276" i="1" s="1"/>
  <c r="AX276" i="1" l="1"/>
  <c r="AY276" i="1"/>
  <c r="AW276" i="1"/>
  <c r="AZ276" i="1" l="1" a="1"/>
  <c r="AZ276" i="1" s="1"/>
  <c r="BA276" i="1" s="1"/>
  <c r="AV277" i="1" s="1"/>
  <c r="AY277" i="1" l="1"/>
  <c r="AW277" i="1"/>
  <c r="AX277" i="1"/>
  <c r="AZ277" i="1" l="1" a="1"/>
  <c r="AZ277" i="1" s="1"/>
  <c r="BA277" i="1" s="1"/>
  <c r="AV278" i="1" s="1"/>
  <c r="AW278" i="1" l="1"/>
  <c r="AX278" i="1"/>
  <c r="AY278" i="1"/>
  <c r="AZ278" i="1" l="1" a="1"/>
  <c r="AZ278" i="1" s="1"/>
  <c r="BA278" i="1" s="1"/>
  <c r="AV279" i="1" s="1"/>
  <c r="AW279" i="1" l="1"/>
  <c r="AX279" i="1"/>
  <c r="AY279" i="1"/>
  <c r="AZ279" i="1" l="1" a="1"/>
  <c r="AZ279" i="1" s="1"/>
  <c r="BA279" i="1" s="1"/>
  <c r="AV280" i="1" s="1"/>
  <c r="AX280" i="1" l="1"/>
  <c r="AY280" i="1"/>
  <c r="AW280" i="1"/>
  <c r="AZ280" i="1" s="1" a="1"/>
  <c r="AZ280" i="1" s="1"/>
  <c r="BA280" i="1" s="1"/>
  <c r="AV281" i="1" s="1"/>
  <c r="AY281" i="1" l="1"/>
  <c r="AW281" i="1"/>
  <c r="AX281" i="1"/>
  <c r="AZ281" i="1" l="1" a="1"/>
  <c r="AZ281" i="1" s="1"/>
  <c r="BA281" i="1" s="1"/>
  <c r="AV282" i="1" s="1"/>
  <c r="AW282" i="1" l="1"/>
  <c r="AX282" i="1"/>
  <c r="AY282" i="1"/>
  <c r="AZ282" i="1" l="1" a="1"/>
  <c r="AZ282" i="1" s="1"/>
  <c r="BA282" i="1" s="1"/>
  <c r="AV283" i="1" s="1"/>
  <c r="AW283" i="1" l="1"/>
  <c r="AX283" i="1"/>
  <c r="AY283" i="1"/>
  <c r="AZ283" i="1" l="1" a="1"/>
  <c r="AZ283" i="1" s="1"/>
  <c r="BA283" i="1" s="1"/>
  <c r="AV284" i="1" s="1"/>
  <c r="AX284" i="1" l="1"/>
  <c r="AY284" i="1"/>
  <c r="AW284" i="1"/>
  <c r="AZ284" i="1" l="1" a="1"/>
  <c r="AZ284" i="1" s="1"/>
  <c r="BA284" i="1" s="1"/>
  <c r="AV285" i="1" s="1"/>
  <c r="AW285" i="1" s="1"/>
  <c r="AY285" i="1" l="1"/>
  <c r="AX285" i="1"/>
  <c r="AZ285" i="1" a="1"/>
  <c r="AZ285" i="1" s="1"/>
  <c r="BA285" i="1" s="1"/>
  <c r="AV286" i="1" s="1"/>
  <c r="AW286" i="1" l="1"/>
  <c r="AX286" i="1"/>
  <c r="AY286" i="1"/>
  <c r="AZ286" i="1" l="1" a="1"/>
  <c r="AZ286" i="1" s="1"/>
  <c r="BA286" i="1" s="1"/>
  <c r="AV287" i="1" s="1"/>
  <c r="AW287" i="1" l="1"/>
  <c r="AX287" i="1"/>
  <c r="AY287" i="1"/>
  <c r="AZ287" i="1" l="1" a="1"/>
  <c r="AZ287" i="1" s="1"/>
  <c r="BA287" i="1" s="1"/>
  <c r="AV288" i="1" s="1"/>
  <c r="AX288" i="1" l="1"/>
  <c r="AY288" i="1"/>
  <c r="AW288" i="1"/>
  <c r="AZ288" i="1" l="1" a="1"/>
  <c r="AZ288" i="1" s="1"/>
  <c r="BA288" i="1" s="1"/>
  <c r="AV289" i="1" s="1"/>
  <c r="AY289" i="1"/>
  <c r="AW289" i="1"/>
  <c r="AX289" i="1"/>
  <c r="AZ289" i="1" l="1" a="1"/>
  <c r="AZ289" i="1" s="1"/>
  <c r="BA289" i="1" s="1"/>
  <c r="AV290" i="1" s="1"/>
  <c r="AW290" i="1"/>
  <c r="AX290" i="1"/>
  <c r="AY290" i="1"/>
  <c r="AZ290" i="1" l="1" a="1"/>
  <c r="AZ290" i="1" s="1"/>
  <c r="BA290" i="1" s="1"/>
  <c r="AV291" i="1" s="1"/>
  <c r="AW291" i="1" l="1"/>
  <c r="AX291" i="1"/>
  <c r="AY291" i="1"/>
  <c r="AZ291" i="1" l="1" a="1"/>
  <c r="AZ291" i="1" s="1"/>
  <c r="BA291" i="1" s="1"/>
  <c r="AV292" i="1" s="1"/>
  <c r="AX292" i="1" l="1"/>
  <c r="AY292" i="1"/>
  <c r="AW292" i="1"/>
  <c r="AZ292" i="1" s="1" a="1"/>
  <c r="AZ292" i="1" s="1"/>
  <c r="BA292" i="1" s="1"/>
  <c r="AV293" i="1" s="1"/>
  <c r="AY293" i="1" l="1"/>
  <c r="AW293" i="1"/>
  <c r="AX293" i="1"/>
  <c r="AZ293" i="1" l="1" a="1"/>
  <c r="AZ293" i="1" s="1"/>
  <c r="BA293" i="1" s="1"/>
  <c r="AV294" i="1" s="1"/>
  <c r="AW294" i="1" l="1"/>
  <c r="AX294" i="1"/>
  <c r="AY294" i="1"/>
  <c r="AZ294" i="1" l="1" a="1"/>
  <c r="AZ294" i="1" s="1"/>
  <c r="BA294" i="1" s="1"/>
  <c r="AV295" i="1" s="1"/>
  <c r="AW295" i="1" l="1"/>
  <c r="AX295" i="1"/>
  <c r="AY295" i="1"/>
  <c r="AZ295" i="1" l="1" a="1"/>
  <c r="AZ295" i="1" s="1"/>
  <c r="BA295" i="1" s="1"/>
  <c r="AV296" i="1" s="1"/>
  <c r="AX296" i="1" l="1"/>
  <c r="AY296" i="1"/>
  <c r="AW296" i="1"/>
  <c r="AZ296" i="1" l="1" a="1"/>
  <c r="AZ296" i="1" s="1"/>
  <c r="BA296" i="1" s="1"/>
  <c r="AV297" i="1" s="1"/>
  <c r="AY297" i="1"/>
  <c r="AW297" i="1"/>
  <c r="AX297" i="1"/>
  <c r="AZ297" i="1" l="1" a="1"/>
  <c r="AZ297" i="1" s="1"/>
  <c r="BA297" i="1" s="1"/>
  <c r="AV298" i="1" s="1"/>
  <c r="AW298" i="1" l="1"/>
  <c r="AX298" i="1"/>
  <c r="AY298" i="1"/>
  <c r="AZ298" i="1" l="1" a="1"/>
  <c r="AZ298" i="1" s="1"/>
  <c r="BA298" i="1" s="1"/>
  <c r="AV299" i="1" s="1"/>
  <c r="AW299" i="1" l="1"/>
  <c r="AX299" i="1"/>
  <c r="AY299" i="1"/>
  <c r="AZ299" i="1" l="1" a="1"/>
  <c r="AZ299" i="1" s="1"/>
  <c r="BA299" i="1" s="1"/>
  <c r="AV300" i="1" s="1"/>
  <c r="AX300" i="1" l="1"/>
  <c r="AY300" i="1"/>
  <c r="AW300" i="1"/>
  <c r="AZ300" i="1" s="1" a="1"/>
  <c r="AZ300" i="1" s="1"/>
  <c r="BA300" i="1" s="1"/>
  <c r="AV301" i="1" s="1"/>
  <c r="AY301" i="1" l="1"/>
  <c r="AW301" i="1"/>
  <c r="AX301" i="1"/>
  <c r="AZ301" i="1" l="1" a="1"/>
  <c r="AZ301" i="1" s="1"/>
  <c r="BA301" i="1" s="1"/>
  <c r="AV302" i="1" s="1"/>
  <c r="AW302" i="1" l="1"/>
  <c r="AX302" i="1"/>
  <c r="AY302" i="1"/>
  <c r="AZ302" i="1" l="1" a="1"/>
  <c r="AZ302" i="1" s="1"/>
  <c r="BA302" i="1" s="1"/>
  <c r="AV303" i="1" s="1"/>
  <c r="AW303" i="1" l="1"/>
  <c r="AX303" i="1"/>
  <c r="AY303" i="1"/>
  <c r="AZ303" i="1" l="1" a="1"/>
  <c r="AZ303" i="1" s="1"/>
  <c r="BA303" i="1" s="1"/>
  <c r="AV304" i="1" s="1"/>
  <c r="AX304" i="1" l="1"/>
  <c r="AY304" i="1"/>
  <c r="AW304" i="1"/>
  <c r="AZ304" i="1" l="1" a="1"/>
  <c r="AZ304" i="1" s="1"/>
  <c r="BA304" i="1" s="1"/>
  <c r="AV305" i="1" s="1"/>
  <c r="AY305" i="1" s="1"/>
  <c r="AX305" i="1" l="1"/>
  <c r="AW305" i="1"/>
  <c r="AZ305" i="1" l="1" a="1"/>
  <c r="AZ305" i="1" s="1"/>
  <c r="BA305" i="1" s="1"/>
  <c r="AV306" i="1" s="1"/>
  <c r="AX306" i="1" s="1"/>
  <c r="AW306" i="1" l="1"/>
  <c r="AY306" i="1"/>
  <c r="AZ306" i="1" a="1"/>
  <c r="AZ306" i="1" s="1"/>
  <c r="BA306" i="1" s="1"/>
  <c r="AV307" i="1" s="1"/>
  <c r="AW307" i="1" l="1"/>
  <c r="AX307" i="1"/>
  <c r="AY307" i="1"/>
  <c r="AZ307" i="1" l="1" a="1"/>
  <c r="AZ307" i="1" s="1"/>
  <c r="BA307" i="1" s="1"/>
  <c r="AV308" i="1" s="1"/>
  <c r="AX308" i="1" l="1"/>
  <c r="AY308" i="1"/>
  <c r="AW308" i="1"/>
  <c r="AZ308" i="1" s="1" a="1"/>
  <c r="AZ308" i="1" s="1"/>
  <c r="BA308" i="1" s="1"/>
  <c r="AV309" i="1" s="1"/>
  <c r="AY309" i="1" l="1"/>
  <c r="AW309" i="1"/>
  <c r="AX309" i="1"/>
  <c r="AZ309" i="1" l="1" a="1"/>
  <c r="AZ309" i="1" s="1"/>
  <c r="BA309" i="1" s="1"/>
  <c r="AV310" i="1" s="1"/>
  <c r="AX310" i="1" s="1"/>
  <c r="AW310" i="1" l="1"/>
  <c r="AY310" i="1"/>
  <c r="AZ310" i="1" l="1" a="1"/>
  <c r="AZ310" i="1" s="1"/>
  <c r="BA310" i="1" s="1"/>
  <c r="AV311" i="1" s="1"/>
  <c r="AW311" i="1" s="1"/>
  <c r="AY311" i="1" l="1"/>
  <c r="AZ311" i="1" s="1" a="1"/>
  <c r="AZ311" i="1" s="1"/>
  <c r="BA311" i="1" s="1"/>
  <c r="AV312" i="1" s="1"/>
  <c r="AX311" i="1"/>
  <c r="AX312" i="1" l="1"/>
  <c r="AY312" i="1"/>
  <c r="AW312" i="1"/>
  <c r="AZ312" i="1" l="1" a="1"/>
  <c r="AZ312" i="1" s="1"/>
  <c r="BA312" i="1" s="1"/>
  <c r="AV313" i="1" s="1"/>
  <c r="AY313" i="1"/>
  <c r="AW313" i="1"/>
  <c r="AX313" i="1"/>
  <c r="AZ313" i="1" l="1" a="1"/>
  <c r="AZ313" i="1" s="1"/>
  <c r="BA313" i="1" s="1"/>
  <c r="AV314" i="1" s="1"/>
  <c r="AW314" i="1" l="1"/>
  <c r="AX314" i="1"/>
  <c r="AY314" i="1"/>
  <c r="AZ314" i="1" l="1" a="1"/>
  <c r="AZ314" i="1" s="1"/>
  <c r="BA314" i="1" s="1"/>
  <c r="AV315" i="1" s="1"/>
  <c r="AW315" i="1" l="1"/>
  <c r="AX315" i="1"/>
  <c r="AY315" i="1"/>
  <c r="AZ315" i="1" l="1" a="1"/>
  <c r="AZ315" i="1" s="1"/>
  <c r="BA315" i="1" s="1"/>
  <c r="AV316" i="1" s="1"/>
  <c r="AX316" i="1" l="1"/>
  <c r="AY316" i="1"/>
  <c r="AW316" i="1"/>
  <c r="AZ316" i="1" l="1" a="1"/>
  <c r="AZ316" i="1" s="1"/>
  <c r="BA316" i="1" s="1"/>
  <c r="AV317" i="1" s="1"/>
  <c r="AW317" i="1" s="1"/>
  <c r="AY317" i="1" l="1"/>
  <c r="AX317" i="1"/>
  <c r="AZ317" i="1" a="1"/>
  <c r="AZ317" i="1" s="1"/>
  <c r="BA317" i="1" s="1"/>
  <c r="AV318" i="1" s="1"/>
  <c r="AW318" i="1" l="1"/>
  <c r="AX318" i="1"/>
  <c r="AY318" i="1"/>
  <c r="AZ318" i="1" l="1" a="1"/>
  <c r="AZ318" i="1" s="1"/>
  <c r="BA318" i="1" s="1"/>
  <c r="AV319" i="1" s="1"/>
  <c r="AW319" i="1" s="1"/>
  <c r="AY319" i="1" l="1"/>
  <c r="AX319" i="1"/>
  <c r="AZ319" i="1" s="1" a="1"/>
  <c r="AZ319" i="1" s="1"/>
  <c r="BA319" i="1" s="1"/>
  <c r="AV320" i="1" s="1"/>
  <c r="AY320" i="1" l="1"/>
  <c r="AX320" i="1"/>
  <c r="AW320" i="1"/>
  <c r="AZ320" i="1" s="1" a="1"/>
  <c r="AZ320" i="1" s="1"/>
  <c r="BA320" i="1" s="1"/>
  <c r="AV321" i="1" s="1"/>
  <c r="AW321" i="1" s="1"/>
  <c r="AY321" i="1" l="1"/>
  <c r="AZ321" i="1" s="1" a="1"/>
  <c r="AZ321" i="1" s="1"/>
  <c r="BA321" i="1" s="1"/>
  <c r="AV322" i="1" s="1"/>
  <c r="AX321" i="1"/>
  <c r="AW322" i="1" l="1"/>
  <c r="AX322" i="1"/>
  <c r="AY322" i="1"/>
  <c r="AZ322" i="1" l="1" a="1"/>
  <c r="AZ322" i="1" s="1"/>
  <c r="BA322" i="1" s="1"/>
  <c r="AV323" i="1" s="1"/>
  <c r="AW323" i="1" l="1"/>
  <c r="AX323" i="1"/>
  <c r="AY323" i="1"/>
  <c r="AZ323" i="1" l="1" a="1"/>
  <c r="AZ323" i="1" s="1"/>
  <c r="BA323" i="1" s="1"/>
  <c r="AV324" i="1" s="1"/>
  <c r="AX324" i="1" l="1"/>
  <c r="AY324" i="1"/>
  <c r="AW324" i="1"/>
  <c r="AZ324" i="1" s="1" a="1"/>
  <c r="AZ324" i="1" s="1"/>
  <c r="BA324" i="1" s="1"/>
  <c r="AV325" i="1" s="1"/>
  <c r="AY325" i="1" l="1"/>
  <c r="AW325" i="1"/>
  <c r="AX325" i="1"/>
  <c r="AZ325" i="1" l="1" a="1"/>
  <c r="AZ325" i="1" s="1"/>
  <c r="BA325" i="1" s="1"/>
  <c r="AV326" i="1" s="1"/>
  <c r="AW326" i="1" s="1"/>
  <c r="AY326" i="1" l="1"/>
  <c r="AX326" i="1"/>
  <c r="AZ326" i="1" s="1" a="1"/>
  <c r="AZ326" i="1" s="1"/>
  <c r="BA326" i="1" s="1"/>
  <c r="AV327" i="1" s="1"/>
  <c r="AW327" i="1" l="1"/>
  <c r="AX327" i="1"/>
  <c r="AY327" i="1"/>
  <c r="AZ327" i="1" l="1" a="1"/>
  <c r="AZ327" i="1" s="1"/>
  <c r="BA327" i="1" s="1"/>
  <c r="AV328" i="1" s="1"/>
  <c r="AX328" i="1" l="1"/>
  <c r="AY328" i="1"/>
  <c r="AW328" i="1"/>
  <c r="AZ328" i="1" s="1" a="1"/>
  <c r="AZ328" i="1" s="1"/>
  <c r="BA328" i="1" s="1"/>
  <c r="AV329" i="1" s="1"/>
  <c r="AY329" i="1" l="1"/>
  <c r="AW329" i="1"/>
  <c r="AX329" i="1"/>
  <c r="AZ329" i="1" l="1" a="1"/>
  <c r="AZ329" i="1" s="1"/>
  <c r="BA329" i="1" s="1"/>
  <c r="AV330" i="1" s="1"/>
  <c r="AW330" i="1" l="1"/>
  <c r="AX330" i="1"/>
  <c r="AY330" i="1"/>
  <c r="AZ330" i="1" l="1" a="1"/>
  <c r="AZ330" i="1" s="1"/>
  <c r="BA330" i="1" s="1"/>
  <c r="AV331" i="1" s="1"/>
  <c r="AW331" i="1" l="1"/>
  <c r="AX331" i="1"/>
  <c r="AY331" i="1"/>
  <c r="AZ331" i="1" l="1" a="1"/>
  <c r="AZ331" i="1" s="1"/>
  <c r="BA331" i="1" s="1"/>
  <c r="AV332" i="1" s="1"/>
  <c r="AX332" i="1" s="1"/>
  <c r="AW332" i="1" l="1"/>
  <c r="AY332" i="1"/>
  <c r="AZ332" i="1" l="1" a="1"/>
  <c r="AZ332" i="1" s="1"/>
  <c r="BA332" i="1" s="1"/>
  <c r="AV333" i="1" s="1"/>
  <c r="AW333" i="1" l="1"/>
  <c r="AX333" i="1"/>
  <c r="AY333" i="1"/>
  <c r="AZ333" i="1" l="1" a="1"/>
  <c r="AZ333" i="1" s="1"/>
  <c r="BA333" i="1" s="1"/>
  <c r="AV334" i="1" s="1"/>
  <c r="AX334" i="1" l="1"/>
  <c r="AY334" i="1"/>
  <c r="AW334" i="1"/>
  <c r="AZ334" i="1" l="1" a="1"/>
  <c r="AZ334" i="1" s="1"/>
  <c r="BA334" i="1" s="1"/>
  <c r="AV335" i="1" s="1"/>
  <c r="AY335" i="1" s="1"/>
  <c r="AX335" i="1" l="1"/>
  <c r="AW335" i="1"/>
  <c r="AZ335" i="1" s="1" a="1"/>
  <c r="AZ335" i="1" s="1"/>
  <c r="BA335" i="1" s="1"/>
  <c r="AV336" i="1" s="1"/>
  <c r="AW336" i="1" s="1"/>
  <c r="AX336" i="1"/>
  <c r="AY336" i="1"/>
  <c r="AZ336" i="1" l="1" a="1"/>
  <c r="AZ336" i="1" s="1"/>
  <c r="BA336" i="1" s="1"/>
  <c r="AV337" i="1" s="1"/>
  <c r="AY337" i="1"/>
  <c r="AW337" i="1"/>
  <c r="AX337" i="1"/>
  <c r="AZ337" i="1" l="1" a="1"/>
  <c r="AZ337" i="1" s="1"/>
  <c r="BA337" i="1" s="1"/>
  <c r="AV338" i="1" s="1"/>
  <c r="AW338" i="1" l="1"/>
  <c r="AX338" i="1"/>
  <c r="AY338" i="1"/>
  <c r="AZ338" i="1" l="1" a="1"/>
  <c r="AZ338" i="1" s="1"/>
  <c r="BA338" i="1" s="1"/>
  <c r="AV339" i="1" s="1"/>
  <c r="AW339" i="1" l="1"/>
  <c r="AX339" i="1"/>
  <c r="AY339" i="1"/>
  <c r="AZ339" i="1" l="1" a="1"/>
  <c r="AZ339" i="1" s="1"/>
  <c r="BA339" i="1" s="1"/>
  <c r="AV340" i="1" s="1"/>
  <c r="AX340" i="1" l="1"/>
  <c r="AY340" i="1"/>
  <c r="AW340" i="1"/>
  <c r="AZ340" i="1" l="1" a="1"/>
  <c r="AZ340" i="1" s="1"/>
  <c r="BA340" i="1" s="1"/>
  <c r="AV341" i="1" s="1"/>
  <c r="AY341" i="1" l="1"/>
  <c r="AW341" i="1"/>
  <c r="AX341" i="1"/>
  <c r="AZ341" i="1" l="1" a="1"/>
  <c r="AZ341" i="1" s="1"/>
  <c r="BA341" i="1" s="1"/>
  <c r="AV342" i="1" s="1"/>
  <c r="AW342" i="1" l="1"/>
  <c r="AX342" i="1"/>
  <c r="AY342" i="1"/>
  <c r="AZ342" i="1" l="1" a="1"/>
  <c r="AZ342" i="1" s="1"/>
  <c r="BA342" i="1" s="1"/>
  <c r="AV343" i="1" s="1"/>
  <c r="AW343" i="1" l="1"/>
  <c r="AX343" i="1"/>
  <c r="AY343" i="1"/>
  <c r="AZ343" i="1" l="1" a="1"/>
  <c r="AZ343" i="1" s="1"/>
  <c r="BA343" i="1" s="1"/>
  <c r="AV344" i="1" s="1"/>
  <c r="AX344" i="1" l="1"/>
  <c r="AY344" i="1"/>
  <c r="AW344" i="1"/>
  <c r="AZ344" i="1" l="1" a="1"/>
  <c r="AZ344" i="1" s="1"/>
  <c r="BA344" i="1" s="1"/>
  <c r="AV345" i="1" s="1"/>
  <c r="AY345" i="1" l="1"/>
  <c r="AW345" i="1"/>
  <c r="AX345" i="1"/>
  <c r="AZ345" i="1" l="1" a="1"/>
  <c r="AZ345" i="1" s="1"/>
  <c r="BA345" i="1" s="1"/>
  <c r="AV346" i="1" s="1"/>
  <c r="AY346" i="1" l="1"/>
  <c r="AW346" i="1"/>
  <c r="AX346" i="1"/>
  <c r="AZ346" i="1" l="1" a="1"/>
  <c r="AZ346" i="1" s="1"/>
  <c r="BA346" i="1" s="1"/>
  <c r="AV347" i="1" s="1"/>
  <c r="AW347" i="1" l="1"/>
  <c r="AX347" i="1"/>
  <c r="AY347" i="1"/>
  <c r="AZ347" i="1" l="1" a="1"/>
  <c r="AZ347" i="1" s="1"/>
  <c r="BA347" i="1" s="1"/>
  <c r="AV348" i="1" s="1"/>
  <c r="AX348" i="1" l="1"/>
  <c r="AW348" i="1"/>
  <c r="AY348" i="1"/>
  <c r="AZ348" i="1" l="1" a="1"/>
  <c r="AZ348" i="1" s="1"/>
  <c r="BA348" i="1" s="1"/>
  <c r="AV349" i="1" s="1"/>
  <c r="AY349" i="1" l="1"/>
  <c r="AW349" i="1"/>
  <c r="AX349" i="1"/>
  <c r="AZ349" i="1" l="1" a="1"/>
  <c r="AZ349" i="1" s="1"/>
  <c r="BA349" i="1" s="1"/>
  <c r="AV350" i="1" s="1"/>
  <c r="AX350" i="1" l="1"/>
  <c r="AY350" i="1"/>
  <c r="AW350" i="1"/>
  <c r="AZ350" i="1" s="1" a="1"/>
  <c r="AZ350" i="1" s="1"/>
  <c r="BA350" i="1" s="1"/>
  <c r="AV351" i="1" s="1"/>
  <c r="AW351" i="1" l="1"/>
  <c r="AX351" i="1"/>
  <c r="AY351" i="1"/>
  <c r="AZ351" i="1" l="1" a="1"/>
  <c r="AZ351" i="1" s="1"/>
  <c r="BA351" i="1" s="1"/>
  <c r="AV352" i="1" s="1"/>
  <c r="AX352" i="1" l="1"/>
  <c r="AW352" i="1"/>
  <c r="AY352" i="1"/>
  <c r="AZ352" i="1" l="1" a="1"/>
  <c r="AZ352" i="1" s="1"/>
  <c r="BA352" i="1" s="1"/>
  <c r="AV353" i="1" s="1"/>
  <c r="AY353" i="1" l="1"/>
  <c r="AX353" i="1"/>
  <c r="AW353" i="1"/>
  <c r="AZ353" i="1" s="1" a="1"/>
  <c r="AZ353" i="1" s="1"/>
  <c r="BA353" i="1" s="1"/>
  <c r="AV354" i="1" s="1"/>
  <c r="AW354" i="1" l="1"/>
  <c r="AX354" i="1"/>
  <c r="AY354" i="1"/>
  <c r="AZ354" i="1" l="1" a="1"/>
  <c r="AZ354" i="1" s="1"/>
  <c r="BA354" i="1" s="1"/>
  <c r="AV355" i="1" s="1"/>
  <c r="AW355" i="1" l="1"/>
  <c r="AX355" i="1"/>
  <c r="AY355" i="1"/>
  <c r="AZ355" i="1" l="1" a="1"/>
  <c r="AZ355" i="1" s="1"/>
  <c r="BA355" i="1" s="1"/>
  <c r="AV356" i="1" s="1"/>
  <c r="AX356" i="1" l="1"/>
  <c r="AY356" i="1"/>
  <c r="AW356" i="1"/>
  <c r="AZ356" i="1" l="1" a="1"/>
  <c r="AZ356" i="1" s="1"/>
  <c r="BA356" i="1" s="1"/>
  <c r="AV357" i="1" s="1"/>
  <c r="AY357" i="1" s="1"/>
  <c r="AW357" i="1"/>
  <c r="AX357" i="1"/>
  <c r="AZ357" i="1" l="1" a="1"/>
  <c r="AZ357" i="1" s="1"/>
  <c r="BA357" i="1" s="1"/>
  <c r="AV358" i="1" s="1"/>
  <c r="AW358" i="1" l="1"/>
  <c r="AX358" i="1"/>
  <c r="AY358" i="1"/>
  <c r="AZ358" i="1" l="1" a="1"/>
  <c r="AZ358" i="1" s="1"/>
  <c r="BA358" i="1" s="1"/>
  <c r="AV359" i="1" s="1"/>
  <c r="AW359" i="1" l="1"/>
  <c r="AY359" i="1"/>
  <c r="AX359" i="1"/>
  <c r="AZ359" i="1" l="1" a="1"/>
  <c r="AZ359" i="1" s="1"/>
  <c r="BA359" i="1" s="1"/>
  <c r="AV360" i="1" s="1"/>
  <c r="AX360" i="1" l="1"/>
  <c r="AW360" i="1"/>
  <c r="AY360" i="1"/>
  <c r="AZ360" i="1" l="1" a="1"/>
  <c r="AZ360" i="1" s="1"/>
  <c r="BA360" i="1" s="1"/>
  <c r="AV361" i="1" s="1"/>
  <c r="AY361" i="1" l="1"/>
  <c r="AW361" i="1"/>
  <c r="AX361" i="1"/>
  <c r="AZ361" i="1" l="1" a="1"/>
  <c r="AZ361" i="1" s="1"/>
  <c r="BA361" i="1" s="1"/>
  <c r="AV362" i="1" s="1"/>
  <c r="AY362" i="1" l="1"/>
  <c r="AW362" i="1"/>
  <c r="AX362" i="1"/>
  <c r="AZ362" i="1" l="1" a="1"/>
  <c r="AZ362" i="1" s="1"/>
  <c r="BA362" i="1" s="1"/>
  <c r="AV363" i="1" s="1"/>
  <c r="AW363" i="1" l="1"/>
  <c r="AX363" i="1"/>
  <c r="AY363" i="1"/>
  <c r="AZ363" i="1" l="1" a="1"/>
  <c r="AZ363" i="1" s="1"/>
  <c r="BA363" i="1" s="1"/>
  <c r="AV364" i="1" s="1"/>
  <c r="AX364" i="1" s="1"/>
  <c r="AW364" i="1" l="1"/>
  <c r="AZ364" i="1" s="1" a="1"/>
  <c r="AZ364" i="1" s="1"/>
  <c r="BA364" i="1" s="1"/>
  <c r="AV365" i="1" s="1"/>
  <c r="AY364" i="1"/>
  <c r="AY365" i="1" l="1"/>
  <c r="AW365" i="1"/>
  <c r="AX365" i="1"/>
  <c r="AZ365" i="1" l="1" a="1"/>
  <c r="AZ365" i="1" s="1"/>
  <c r="BA365" i="1" s="1"/>
  <c r="AV366" i="1" s="1"/>
  <c r="AX366" i="1" l="1"/>
  <c r="AY366" i="1"/>
  <c r="AW366" i="1"/>
  <c r="AZ366" i="1" l="1" a="1"/>
  <c r="AZ366" i="1" s="1"/>
  <c r="BA366" i="1" s="1"/>
  <c r="AV367" i="1" s="1"/>
  <c r="AX367" i="1" s="1"/>
  <c r="AW367" i="1" l="1"/>
  <c r="AY367" i="1"/>
  <c r="AZ367" i="1" l="1" a="1"/>
  <c r="AZ367" i="1" s="1"/>
  <c r="BA367" i="1" s="1"/>
  <c r="AV368" i="1" s="1"/>
  <c r="AX368" i="1" s="1"/>
  <c r="AW368" i="1" l="1"/>
  <c r="AZ368" i="1" s="1" a="1"/>
  <c r="AZ368" i="1" s="1"/>
  <c r="BA368" i="1" s="1"/>
  <c r="AV369" i="1" s="1"/>
  <c r="AY369" i="1" s="1"/>
  <c r="AY368" i="1"/>
  <c r="AW369" i="1" l="1"/>
  <c r="AX369" i="1"/>
  <c r="AZ369" i="1" l="1" a="1"/>
  <c r="AZ369" i="1" s="1"/>
  <c r="BA369" i="1" s="1"/>
  <c r="AV370" i="1" s="1"/>
  <c r="AW370" i="1" s="1"/>
  <c r="AY370" i="1"/>
  <c r="AX370" i="1"/>
  <c r="AZ370" i="1" s="1" a="1"/>
  <c r="AZ370" i="1" s="1"/>
  <c r="BA370" i="1" s="1"/>
  <c r="AV371" i="1" s="1"/>
  <c r="AW371" i="1" l="1"/>
  <c r="AX371" i="1"/>
  <c r="AY371" i="1"/>
  <c r="AZ371" i="1" l="1" a="1"/>
  <c r="AZ371" i="1" s="1"/>
  <c r="BA371" i="1" s="1"/>
  <c r="AV372" i="1" s="1"/>
  <c r="AY372" i="1" s="1"/>
  <c r="AX372" i="1" l="1"/>
  <c r="AW372" i="1"/>
  <c r="AZ372" i="1" l="1" a="1"/>
  <c r="AZ372" i="1" s="1"/>
  <c r="BA372" i="1" s="1"/>
  <c r="AV373" i="1" s="1"/>
  <c r="AX373" i="1" s="1"/>
  <c r="AW373" i="1" l="1"/>
  <c r="AY373" i="1"/>
  <c r="AZ373" i="1" l="1" a="1"/>
  <c r="AZ373" i="1" s="1"/>
  <c r="BA373" i="1" s="1"/>
  <c r="AV374" i="1" s="1"/>
  <c r="AW374" i="1" l="1"/>
  <c r="AX374" i="1"/>
  <c r="AY374" i="1"/>
  <c r="AZ374" i="1" l="1" a="1"/>
  <c r="AZ374" i="1" s="1"/>
  <c r="BA374" i="1" s="1"/>
  <c r="AV375" i="1" s="1"/>
  <c r="AW375" i="1" l="1"/>
  <c r="AY375" i="1"/>
  <c r="AX375" i="1"/>
  <c r="AZ375" i="1" l="1" a="1"/>
  <c r="AZ375" i="1" s="1"/>
  <c r="BA375" i="1" s="1"/>
  <c r="AV376" i="1" s="1"/>
  <c r="AX376" i="1" l="1"/>
  <c r="AW376" i="1"/>
  <c r="AY376" i="1"/>
  <c r="AZ376" i="1" l="1" a="1"/>
  <c r="AZ376" i="1" s="1"/>
  <c r="BA376" i="1" s="1"/>
  <c r="AV377" i="1" s="1"/>
  <c r="AW377" i="1"/>
  <c r="AX377" i="1"/>
  <c r="AY377" i="1"/>
  <c r="AZ377" i="1" l="1" a="1"/>
  <c r="AZ377" i="1" s="1"/>
  <c r="BA377" i="1" s="1"/>
  <c r="AV378" i="1" s="1"/>
  <c r="AY378" i="1" l="1"/>
  <c r="AW378" i="1"/>
  <c r="AX378" i="1"/>
  <c r="AZ378" i="1" l="1" a="1"/>
  <c r="AZ378" i="1" s="1"/>
  <c r="BA378" i="1" s="1"/>
  <c r="AV379" i="1" s="1"/>
  <c r="AW379" i="1" l="1"/>
  <c r="AX379" i="1"/>
  <c r="AY379" i="1"/>
  <c r="AZ379" i="1" l="1" a="1"/>
  <c r="AZ379" i="1" s="1"/>
  <c r="BA379" i="1" s="1"/>
  <c r="AV380" i="1" s="1"/>
  <c r="AY380" i="1" s="1"/>
  <c r="AX380" i="1"/>
  <c r="AW380" i="1"/>
  <c r="AZ380" i="1" l="1" a="1"/>
  <c r="AZ380" i="1" s="1"/>
  <c r="BA380" i="1" s="1"/>
  <c r="AV381" i="1" s="1"/>
  <c r="AY381" i="1" s="1"/>
  <c r="AX381" i="1"/>
  <c r="AW381" i="1"/>
  <c r="AZ381" i="1" l="1" a="1"/>
  <c r="AZ381" i="1" s="1"/>
  <c r="BA381" i="1" s="1"/>
  <c r="AV382" i="1" s="1"/>
  <c r="AX382" i="1"/>
  <c r="AY382" i="1"/>
  <c r="AW382" i="1"/>
  <c r="AZ382" i="1" l="1" a="1"/>
  <c r="AZ382" i="1" s="1"/>
  <c r="BA382" i="1" s="1"/>
  <c r="AV383" i="1" s="1"/>
  <c r="AW383" i="1"/>
  <c r="AX383" i="1"/>
  <c r="AY383" i="1"/>
  <c r="AZ383" i="1" l="1" a="1"/>
  <c r="AZ383" i="1" s="1"/>
  <c r="BA383" i="1" s="1"/>
  <c r="AV384" i="1" s="1"/>
  <c r="AX384" i="1" l="1"/>
  <c r="AW384" i="1"/>
  <c r="AY384" i="1"/>
  <c r="AZ384" i="1" l="1" a="1"/>
  <c r="AZ384" i="1" s="1"/>
  <c r="BA384" i="1" s="1"/>
  <c r="AV385" i="1" s="1"/>
  <c r="AY385" i="1" l="1"/>
  <c r="AX385" i="1"/>
  <c r="AW385" i="1"/>
  <c r="AZ385" i="1" l="1" a="1"/>
  <c r="AZ385" i="1" s="1"/>
  <c r="BA385" i="1" s="1"/>
  <c r="AV386" i="1" s="1"/>
  <c r="AW386" i="1" s="1"/>
  <c r="AX386" i="1" l="1"/>
  <c r="AZ386" i="1" s="1" a="1"/>
  <c r="AZ386" i="1" s="1"/>
  <c r="BA386" i="1" s="1"/>
  <c r="AV387" i="1" s="1"/>
  <c r="AY386" i="1"/>
  <c r="AW387" i="1" l="1"/>
  <c r="AX387" i="1"/>
  <c r="AY387" i="1"/>
  <c r="AZ387" i="1" l="1" a="1"/>
  <c r="AZ387" i="1" s="1"/>
  <c r="BA387" i="1" s="1"/>
  <c r="AV388" i="1" s="1"/>
  <c r="AX388" i="1" l="1"/>
  <c r="AY388" i="1"/>
  <c r="AW388" i="1"/>
  <c r="AZ388" i="1" s="1" a="1"/>
  <c r="AZ388" i="1" s="1"/>
  <c r="BA388" i="1" s="1"/>
  <c r="AV389" i="1" s="1"/>
  <c r="AY389" i="1" l="1"/>
  <c r="AW389" i="1"/>
  <c r="AX389" i="1"/>
  <c r="AZ389" i="1" l="1" a="1"/>
  <c r="AZ389" i="1" s="1"/>
  <c r="BA389" i="1" s="1"/>
  <c r="AV390" i="1" s="1"/>
  <c r="AW390" i="1" l="1"/>
  <c r="AX390" i="1"/>
  <c r="AY390" i="1"/>
  <c r="AZ390" i="1" l="1" a="1"/>
  <c r="AZ390" i="1" s="1"/>
  <c r="BA390" i="1" s="1"/>
  <c r="AV391" i="1" s="1"/>
  <c r="AW391" i="1" l="1"/>
  <c r="AY391" i="1"/>
  <c r="AX391" i="1"/>
  <c r="AZ391" i="1" l="1" a="1"/>
  <c r="AZ391" i="1" s="1"/>
  <c r="BA391" i="1" s="1"/>
  <c r="AV392" i="1" s="1"/>
  <c r="AW392" i="1" s="1"/>
  <c r="AX392" i="1" l="1"/>
  <c r="AY392" i="1"/>
  <c r="AZ392" i="1" l="1" a="1"/>
  <c r="AZ392" i="1" s="1"/>
  <c r="BA392" i="1" s="1"/>
  <c r="AV393" i="1" s="1"/>
  <c r="AX393" i="1" s="1"/>
  <c r="AY393" i="1"/>
  <c r="AW393" i="1"/>
  <c r="AZ393" i="1" l="1" a="1"/>
  <c r="AZ393" i="1" s="1"/>
  <c r="BA393" i="1" s="1"/>
  <c r="AV394" i="1" s="1"/>
  <c r="AY394" i="1" l="1"/>
  <c r="AW394" i="1"/>
  <c r="AX394" i="1"/>
  <c r="AZ394" i="1" l="1" a="1"/>
  <c r="AZ394" i="1" s="1"/>
  <c r="BA394" i="1" s="1"/>
  <c r="AV395" i="1" s="1"/>
  <c r="AW395" i="1" l="1"/>
  <c r="AX395" i="1"/>
  <c r="AY395" i="1"/>
  <c r="AZ395" i="1" l="1" a="1"/>
  <c r="AZ395" i="1" s="1"/>
  <c r="BA395" i="1" s="1"/>
  <c r="AV396" i="1" s="1"/>
  <c r="AX396" i="1" l="1"/>
  <c r="AW396" i="1"/>
  <c r="AY396" i="1"/>
  <c r="AZ396" i="1" l="1" a="1"/>
  <c r="AZ396" i="1" s="1"/>
  <c r="BA396" i="1" s="1"/>
  <c r="AV397" i="1" s="1"/>
  <c r="AY397" i="1" l="1"/>
  <c r="AW397" i="1"/>
  <c r="AX397" i="1"/>
  <c r="AZ397" i="1" l="1" a="1"/>
  <c r="AZ397" i="1" s="1"/>
  <c r="BA397" i="1" s="1"/>
  <c r="AV398" i="1" s="1"/>
  <c r="AX398" i="1" l="1"/>
  <c r="AY398" i="1"/>
  <c r="AW398" i="1"/>
  <c r="AZ398" i="1" l="1" a="1"/>
  <c r="AZ398" i="1" s="1"/>
  <c r="BA398" i="1" s="1"/>
  <c r="AV399" i="1" s="1"/>
  <c r="AX399" i="1" s="1"/>
  <c r="AW399" i="1" l="1"/>
  <c r="AY399" i="1"/>
  <c r="AZ399" i="1" a="1"/>
  <c r="AZ399" i="1" s="1"/>
  <c r="BA399" i="1" s="1"/>
  <c r="AV400" i="1" s="1"/>
  <c r="AW400" i="1" s="1"/>
  <c r="AX400" i="1" l="1"/>
  <c r="AY400" i="1"/>
  <c r="AZ400" i="1" l="1" a="1"/>
  <c r="AZ400" i="1" s="1"/>
  <c r="BA400" i="1" s="1"/>
  <c r="AV401" i="1" s="1"/>
  <c r="AX401" i="1" s="1"/>
  <c r="AY401" i="1" l="1"/>
  <c r="AW401" i="1"/>
  <c r="AZ401" i="1" s="1" a="1"/>
  <c r="AZ401" i="1" s="1"/>
  <c r="BA401" i="1" s="1"/>
  <c r="AV402" i="1" s="1"/>
  <c r="AY402" i="1" s="1"/>
  <c r="AW402" i="1"/>
  <c r="AX402" i="1"/>
  <c r="AZ402" i="1" l="1" a="1"/>
  <c r="AZ402" i="1" s="1"/>
  <c r="BA402" i="1" s="1"/>
  <c r="AV403" i="1" s="1"/>
  <c r="AY403" i="1" l="1"/>
  <c r="AW403" i="1"/>
  <c r="AX403" i="1"/>
  <c r="AZ403" i="1" l="1" a="1"/>
  <c r="AZ403" i="1" s="1"/>
  <c r="BA403" i="1" s="1"/>
  <c r="AV404" i="1" s="1"/>
  <c r="AW404" i="1" l="1"/>
  <c r="AX404" i="1"/>
  <c r="AY404" i="1"/>
  <c r="AZ404" i="1" l="1" a="1"/>
  <c r="AZ404" i="1" s="1"/>
  <c r="BA404" i="1" s="1"/>
  <c r="AV405" i="1" s="1"/>
  <c r="AW405" i="1" s="1"/>
  <c r="AY405" i="1" l="1"/>
  <c r="AX405" i="1"/>
  <c r="AZ405" i="1" s="1" a="1"/>
  <c r="AZ405" i="1" s="1"/>
  <c r="BA405" i="1" s="1"/>
  <c r="AV406" i="1" s="1"/>
  <c r="AY406" i="1" l="1"/>
  <c r="AW406" i="1"/>
  <c r="AX406" i="1"/>
  <c r="AZ406" i="1" l="1" a="1"/>
  <c r="AZ406" i="1" s="1"/>
  <c r="BA406" i="1" s="1"/>
  <c r="AV407" i="1" s="1"/>
  <c r="AW407" i="1" s="1"/>
  <c r="AX407" i="1" l="1"/>
  <c r="AY407" i="1"/>
  <c r="AZ407" i="1" l="1" a="1"/>
  <c r="AZ407" i="1" s="1"/>
  <c r="BA407" i="1" s="1"/>
  <c r="AV408" i="1" s="1"/>
  <c r="AX408" i="1"/>
  <c r="AY408" i="1"/>
  <c r="AW408" i="1"/>
  <c r="AZ408" i="1" s="1" a="1"/>
  <c r="AZ408" i="1" s="1"/>
  <c r="BA408" i="1" s="1"/>
  <c r="AV409" i="1" s="1"/>
  <c r="AW409" i="1" l="1"/>
  <c r="AX409" i="1"/>
  <c r="AY409" i="1"/>
  <c r="AZ409" i="1" l="1" a="1"/>
  <c r="AZ409" i="1" s="1"/>
  <c r="BA409" i="1" s="1"/>
  <c r="AV410" i="1" s="1"/>
  <c r="AX410" i="1" l="1"/>
  <c r="AY410" i="1"/>
  <c r="AW410" i="1"/>
  <c r="AZ410" i="1" l="1" a="1"/>
  <c r="AZ410" i="1" s="1"/>
  <c r="BA410" i="1" s="1"/>
  <c r="AV411" i="1" s="1"/>
  <c r="AY411" i="1" s="1"/>
  <c r="AX411" i="1" l="1"/>
  <c r="AW411" i="1"/>
  <c r="AZ411" i="1" s="1" a="1"/>
  <c r="AZ411" i="1" s="1"/>
  <c r="BA411" i="1" s="1"/>
  <c r="AV412" i="1" s="1"/>
  <c r="AW412" i="1" l="1"/>
  <c r="AX412" i="1"/>
  <c r="AY412" i="1"/>
  <c r="AZ412" i="1" l="1" a="1"/>
  <c r="AZ412" i="1" s="1"/>
  <c r="BA412" i="1" s="1"/>
  <c r="AV413" i="1" s="1"/>
  <c r="AW413" i="1" l="1"/>
  <c r="AX413" i="1"/>
  <c r="AY413" i="1"/>
  <c r="AZ413" i="1" l="1" a="1"/>
  <c r="AZ413" i="1" s="1"/>
  <c r="BA413" i="1" s="1"/>
  <c r="AV414" i="1" s="1"/>
  <c r="AX414" i="1" l="1"/>
  <c r="AY414" i="1"/>
  <c r="AW414" i="1"/>
  <c r="AZ414" i="1" s="1" a="1"/>
  <c r="AZ414" i="1" s="1"/>
  <c r="BA414" i="1" s="1"/>
  <c r="AV415" i="1" s="1"/>
  <c r="AY415" i="1" l="1"/>
  <c r="AW415" i="1"/>
  <c r="AX415" i="1"/>
  <c r="AZ415" i="1" l="1" a="1"/>
  <c r="AZ415" i="1" s="1"/>
  <c r="BA415" i="1" s="1"/>
  <c r="AV416" i="1" s="1"/>
  <c r="AW416" i="1" s="1"/>
  <c r="AY416" i="1" l="1"/>
  <c r="AX416" i="1"/>
  <c r="AZ416" i="1" s="1" a="1"/>
  <c r="AZ416" i="1" s="1"/>
  <c r="BA416" i="1" s="1"/>
  <c r="AV417" i="1" s="1"/>
  <c r="AX417" i="1" l="1"/>
  <c r="AY417" i="1"/>
  <c r="AW417" i="1"/>
  <c r="AZ417" i="1" a="1"/>
  <c r="AZ417" i="1" s="1"/>
  <c r="BA417" i="1" s="1"/>
  <c r="AV418" i="1" s="1"/>
  <c r="AX418" i="1" l="1"/>
  <c r="AY418" i="1"/>
  <c r="AW418" i="1"/>
  <c r="AZ418" i="1" l="1" a="1"/>
  <c r="AZ418" i="1" s="1"/>
  <c r="BA418" i="1" s="1"/>
  <c r="AV419" i="1" s="1"/>
  <c r="AY419" i="1"/>
  <c r="AW419" i="1"/>
  <c r="AX419" i="1"/>
  <c r="AZ419" i="1" l="1" a="1"/>
  <c r="AZ419" i="1" s="1"/>
  <c r="BA419" i="1" s="1"/>
  <c r="AV420" i="1" s="1"/>
  <c r="AW420" i="1" l="1"/>
  <c r="AX420" i="1"/>
  <c r="AY420" i="1"/>
  <c r="AZ420" i="1" l="1" a="1"/>
  <c r="AZ420" i="1" s="1"/>
  <c r="BA420" i="1" s="1"/>
  <c r="AV421" i="1" s="1"/>
  <c r="AW421" i="1" l="1"/>
  <c r="AX421" i="1"/>
  <c r="AY421" i="1"/>
  <c r="AZ421" i="1" l="1" a="1"/>
  <c r="AZ421" i="1" s="1"/>
  <c r="BA421" i="1" s="1"/>
  <c r="AV422" i="1" s="1"/>
  <c r="AX422" i="1" l="1"/>
  <c r="AY422" i="1"/>
  <c r="AW422" i="1"/>
  <c r="AZ422" i="1" l="1" a="1"/>
  <c r="AZ422" i="1" s="1"/>
  <c r="BA422" i="1" s="1"/>
  <c r="AV423" i="1" s="1"/>
  <c r="AY423" i="1" l="1"/>
  <c r="AW423" i="1"/>
  <c r="AX423" i="1"/>
  <c r="AZ423" i="1" l="1" a="1"/>
  <c r="AZ423" i="1" s="1"/>
  <c r="BA423" i="1" s="1"/>
  <c r="AV424" i="1" s="1"/>
  <c r="AW424" i="1" l="1"/>
  <c r="AX424" i="1"/>
  <c r="AY424" i="1"/>
  <c r="AZ424" i="1" l="1" a="1"/>
  <c r="AZ424" i="1" s="1"/>
  <c r="BA424" i="1" s="1"/>
  <c r="AV425" i="1" s="1"/>
  <c r="AW425" i="1" l="1"/>
  <c r="AX425" i="1"/>
  <c r="AY425" i="1"/>
  <c r="AZ425" i="1" l="1" a="1"/>
  <c r="AZ425" i="1" s="1"/>
  <c r="BA425" i="1" s="1"/>
  <c r="AV426" i="1" s="1"/>
  <c r="AX426" i="1" l="1"/>
  <c r="AY426" i="1"/>
  <c r="AW426" i="1"/>
  <c r="AZ426" i="1" l="1" a="1"/>
  <c r="AZ426" i="1" s="1"/>
  <c r="BA426" i="1" s="1"/>
  <c r="AV427" i="1" s="1"/>
  <c r="AY427" i="1" l="1"/>
  <c r="AW427" i="1"/>
  <c r="AX427" i="1"/>
  <c r="AZ427" i="1" l="1" a="1"/>
  <c r="AZ427" i="1" s="1"/>
  <c r="BA427" i="1" s="1"/>
  <c r="AV428" i="1" s="1"/>
  <c r="AW428" i="1" l="1"/>
  <c r="AX428" i="1"/>
  <c r="AY428" i="1"/>
  <c r="AZ428" i="1" l="1" a="1"/>
  <c r="AZ428" i="1" s="1"/>
  <c r="BA428" i="1" s="1"/>
  <c r="AV429" i="1" s="1"/>
  <c r="AX429" i="1" s="1"/>
  <c r="AW429" i="1" l="1"/>
  <c r="AY429" i="1"/>
  <c r="AZ429" i="1" s="1" a="1"/>
  <c r="AZ429" i="1" s="1"/>
  <c r="BA429" i="1" s="1"/>
  <c r="AV430" i="1" s="1"/>
  <c r="AX430" i="1" l="1"/>
  <c r="AY430" i="1"/>
  <c r="AW430" i="1"/>
  <c r="AZ430" i="1" l="1" a="1"/>
  <c r="AZ430" i="1" s="1"/>
  <c r="BA430" i="1" s="1"/>
  <c r="AV431" i="1" s="1"/>
  <c r="AY431" i="1"/>
  <c r="AW431" i="1"/>
  <c r="AX431" i="1"/>
  <c r="AZ431" i="1" l="1" a="1"/>
  <c r="AZ431" i="1" s="1"/>
  <c r="BA431" i="1" s="1"/>
  <c r="AV432" i="1" s="1"/>
  <c r="AW432" i="1" s="1"/>
  <c r="AY432" i="1" l="1"/>
  <c r="AX432" i="1"/>
  <c r="AZ432" i="1" l="1" a="1"/>
  <c r="AZ432" i="1" s="1"/>
  <c r="BA432" i="1" s="1"/>
  <c r="AV433" i="1" s="1"/>
  <c r="AW433" i="1"/>
  <c r="AX433" i="1"/>
  <c r="AY433" i="1"/>
  <c r="AZ433" i="1" l="1" a="1"/>
  <c r="AZ433" i="1" s="1"/>
  <c r="BA433" i="1" s="1"/>
  <c r="AV434" i="1" s="1"/>
  <c r="AX434" i="1" l="1"/>
  <c r="AY434" i="1"/>
  <c r="AW434" i="1"/>
  <c r="AZ434" i="1" s="1" a="1"/>
  <c r="AZ434" i="1" s="1"/>
  <c r="BA434" i="1" s="1"/>
  <c r="AV435" i="1" s="1"/>
  <c r="AY435" i="1" l="1"/>
  <c r="AX435" i="1"/>
  <c r="AW435" i="1"/>
  <c r="AZ435" i="1" l="1" a="1"/>
  <c r="AZ435" i="1" s="1"/>
  <c r="BA435" i="1" s="1"/>
  <c r="AV436" i="1" s="1"/>
  <c r="AY436" i="1" s="1"/>
  <c r="AW436" i="1"/>
  <c r="AX436" i="1"/>
  <c r="AZ436" i="1" l="1" a="1"/>
  <c r="AZ436" i="1" s="1"/>
  <c r="BA436" i="1" s="1"/>
  <c r="AV437" i="1" s="1"/>
  <c r="AW437" i="1" l="1"/>
  <c r="AY437" i="1"/>
  <c r="AX437" i="1"/>
  <c r="AZ437" i="1" l="1" a="1"/>
  <c r="AZ437" i="1" s="1"/>
  <c r="BA437" i="1" s="1"/>
  <c r="AV438" i="1" s="1"/>
  <c r="AX438" i="1" l="1"/>
  <c r="AY438" i="1"/>
  <c r="AW438" i="1"/>
  <c r="AZ438" i="1" l="1" a="1"/>
  <c r="AZ438" i="1" s="1"/>
  <c r="BA438" i="1" s="1"/>
  <c r="AV439" i="1" s="1"/>
  <c r="AY439" i="1" l="1"/>
  <c r="AW439" i="1"/>
  <c r="AX439" i="1"/>
  <c r="AZ439" i="1" l="1" a="1"/>
  <c r="AZ439" i="1" s="1"/>
  <c r="BA439" i="1" s="1"/>
  <c r="AV440" i="1" s="1"/>
  <c r="AW440" i="1" s="1"/>
  <c r="AX440" i="1" l="1"/>
  <c r="AY440" i="1"/>
  <c r="AZ440" i="1" l="1" a="1"/>
  <c r="AZ440" i="1" s="1"/>
  <c r="BA440" i="1" s="1"/>
  <c r="AV441" i="1" s="1"/>
  <c r="AY441" i="1" s="1"/>
  <c r="AX441" i="1" l="1"/>
  <c r="AW441" i="1"/>
  <c r="AZ441" i="1" s="1" a="1"/>
  <c r="AZ441" i="1" s="1"/>
  <c r="BA441" i="1" s="1"/>
  <c r="AV442" i="1" s="1"/>
  <c r="AX442" i="1" l="1"/>
  <c r="AW442" i="1"/>
  <c r="AY442" i="1"/>
  <c r="AZ442" i="1" l="1" a="1"/>
  <c r="AZ442" i="1" s="1"/>
  <c r="BA442" i="1" s="1"/>
  <c r="AV443" i="1" s="1"/>
  <c r="AY443" i="1" l="1"/>
  <c r="AW443" i="1"/>
  <c r="AX443" i="1"/>
  <c r="AZ443" i="1" l="1" a="1"/>
  <c r="AZ443" i="1" s="1"/>
  <c r="BA443" i="1" s="1"/>
  <c r="AV444" i="1" s="1"/>
  <c r="AY444" i="1" l="1"/>
  <c r="AX444" i="1"/>
  <c r="AW444" i="1"/>
  <c r="AZ444" i="1" s="1" a="1"/>
  <c r="AZ444" i="1" s="1"/>
  <c r="BA444" i="1" s="1"/>
  <c r="AV445" i="1" s="1"/>
  <c r="AW445" i="1" l="1"/>
  <c r="AX445" i="1"/>
  <c r="AY445" i="1"/>
  <c r="AZ445" i="1" l="1" a="1"/>
  <c r="AZ445" i="1" s="1"/>
  <c r="BA445" i="1" s="1"/>
  <c r="AV446" i="1" s="1"/>
  <c r="AX446" i="1" l="1"/>
  <c r="AW446" i="1"/>
  <c r="AY446" i="1"/>
  <c r="AZ446" i="1" l="1" a="1"/>
  <c r="AZ446" i="1" s="1"/>
  <c r="BA446" i="1" s="1"/>
  <c r="AV447" i="1" s="1"/>
  <c r="AY447" i="1" l="1"/>
  <c r="AX447" i="1"/>
  <c r="AW447" i="1"/>
  <c r="AZ447" i="1" s="1" a="1"/>
  <c r="AZ447" i="1" s="1"/>
  <c r="BA447" i="1" s="1"/>
  <c r="AV448" i="1" s="1"/>
  <c r="AX448" i="1" l="1"/>
  <c r="AY448" i="1"/>
  <c r="AW448" i="1"/>
  <c r="AZ448" i="1" l="1" a="1"/>
  <c r="AZ448" i="1" s="1"/>
  <c r="BA448" i="1" s="1"/>
  <c r="AV449" i="1" s="1"/>
  <c r="AW449" i="1" l="1"/>
  <c r="AX449" i="1"/>
  <c r="AY449" i="1"/>
  <c r="AZ449" i="1" l="1" a="1"/>
  <c r="AZ449" i="1" s="1"/>
  <c r="BA449" i="1" s="1"/>
  <c r="AV450" i="1" s="1"/>
  <c r="AX450" i="1" l="1"/>
  <c r="AW450" i="1"/>
  <c r="AY450" i="1"/>
  <c r="AZ450" i="1" l="1" a="1"/>
  <c r="AZ450" i="1" s="1"/>
  <c r="BA450" i="1" s="1"/>
  <c r="AV451" i="1" s="1"/>
  <c r="AY451" i="1" l="1"/>
  <c r="AX451" i="1"/>
  <c r="AW451" i="1"/>
  <c r="AZ451" i="1" l="1" a="1"/>
  <c r="AZ451" i="1" s="1"/>
  <c r="BA451" i="1" s="1"/>
  <c r="AV452" i="1" s="1"/>
  <c r="AW452" i="1" l="1"/>
  <c r="AX452" i="1"/>
  <c r="AY452" i="1"/>
  <c r="AZ452" i="1" l="1" a="1"/>
  <c r="AZ452" i="1" s="1"/>
  <c r="BA452" i="1" s="1"/>
  <c r="AV453" i="1" s="1"/>
  <c r="AW453" i="1" l="1"/>
  <c r="AX453" i="1"/>
  <c r="AY453" i="1"/>
  <c r="AZ453" i="1" l="1" a="1"/>
  <c r="AZ453" i="1" s="1"/>
  <c r="BA453" i="1" s="1"/>
  <c r="AV454" i="1" s="1"/>
  <c r="AX454" i="1" l="1"/>
  <c r="AY454" i="1"/>
  <c r="AW454" i="1"/>
  <c r="AZ454" i="1" l="1" a="1"/>
  <c r="AZ454" i="1" s="1"/>
  <c r="BA454" i="1" s="1"/>
  <c r="AV455" i="1" s="1"/>
  <c r="AW455" i="1" s="1"/>
  <c r="AY455" i="1" l="1"/>
  <c r="AX455" i="1"/>
  <c r="AZ455" i="1" a="1"/>
  <c r="AZ455" i="1" s="1"/>
  <c r="BA455" i="1" s="1"/>
  <c r="AV456" i="1" s="1"/>
  <c r="AW456" i="1" l="1"/>
  <c r="AY456" i="1"/>
  <c r="AX456" i="1"/>
  <c r="AZ456" i="1" l="1" a="1"/>
  <c r="AZ456" i="1" s="1"/>
  <c r="BA456" i="1" s="1"/>
  <c r="AV457" i="1" s="1"/>
  <c r="AW457" i="1" l="1"/>
  <c r="AY457" i="1"/>
  <c r="AX457" i="1"/>
  <c r="AZ457" i="1" l="1" a="1"/>
  <c r="AZ457" i="1" s="1"/>
  <c r="BA457" i="1" s="1"/>
  <c r="AV458" i="1" s="1"/>
  <c r="AX458" i="1" l="1"/>
  <c r="AW458" i="1"/>
  <c r="AY458" i="1"/>
  <c r="AZ458" i="1" l="1" a="1"/>
  <c r="AZ458" i="1" s="1"/>
  <c r="BA458" i="1" s="1"/>
  <c r="AV459" i="1" s="1"/>
  <c r="AY459" i="1" l="1"/>
  <c r="AW459" i="1"/>
  <c r="AX459" i="1"/>
  <c r="AZ459" i="1" l="1" a="1"/>
  <c r="AZ459" i="1" s="1"/>
  <c r="BA459" i="1" s="1"/>
  <c r="AV460" i="1" s="1"/>
  <c r="AY460" i="1" l="1"/>
  <c r="AX460" i="1"/>
  <c r="AW460" i="1"/>
  <c r="AZ460" i="1" l="1" a="1"/>
  <c r="AZ460" i="1" s="1"/>
  <c r="BA460" i="1" s="1"/>
  <c r="AV461" i="1" s="1"/>
  <c r="AW461" i="1"/>
  <c r="AX461" i="1"/>
  <c r="AY461" i="1"/>
  <c r="AZ461" i="1" l="1" a="1"/>
  <c r="AZ461" i="1" s="1"/>
  <c r="BA461" i="1" s="1"/>
  <c r="AV462" i="1" s="1"/>
  <c r="AX462" i="1" l="1"/>
  <c r="AW462" i="1"/>
  <c r="AY462" i="1"/>
  <c r="AZ462" i="1" l="1" a="1"/>
  <c r="AZ462" i="1" s="1"/>
  <c r="BA462" i="1" s="1"/>
  <c r="AV463" i="1" s="1"/>
  <c r="AY463" i="1" l="1"/>
  <c r="AW463" i="1"/>
  <c r="AX463" i="1"/>
  <c r="AZ463" i="1" l="1" a="1"/>
  <c r="AZ463" i="1" s="1"/>
  <c r="BA463" i="1" s="1"/>
  <c r="AV464" i="1" s="1"/>
  <c r="AX464" i="1" l="1"/>
  <c r="AY464" i="1"/>
  <c r="AW464" i="1"/>
  <c r="AZ464" i="1" s="1" a="1"/>
  <c r="AZ464" i="1" s="1"/>
  <c r="BA464" i="1" s="1"/>
  <c r="AV465" i="1" s="1"/>
  <c r="AW465" i="1" l="1"/>
  <c r="AX465" i="1"/>
  <c r="AY465" i="1"/>
  <c r="AZ465" i="1" l="1" a="1"/>
  <c r="AZ465" i="1" s="1"/>
  <c r="BA465" i="1" s="1"/>
  <c r="AV466" i="1" s="1"/>
  <c r="AX466" i="1" l="1"/>
  <c r="AW466" i="1"/>
  <c r="AY466" i="1"/>
  <c r="AZ466" i="1" l="1" a="1"/>
  <c r="AZ466" i="1" s="1"/>
  <c r="BA466" i="1" s="1"/>
  <c r="AV467" i="1" s="1"/>
  <c r="AY467" i="1" l="1"/>
  <c r="AX467" i="1"/>
  <c r="AW467" i="1"/>
  <c r="AZ467" i="1" l="1" a="1"/>
  <c r="AZ467" i="1" s="1"/>
  <c r="BA467" i="1" s="1"/>
  <c r="AV468" i="1" s="1"/>
  <c r="AW468" i="1" s="1"/>
  <c r="AY468" i="1" l="1"/>
  <c r="AX468" i="1"/>
  <c r="AZ468" i="1" s="1" a="1"/>
  <c r="AZ468" i="1" s="1"/>
  <c r="BA468" i="1" s="1"/>
  <c r="AV469" i="1" s="1"/>
  <c r="AW469" i="1" l="1"/>
  <c r="AY469" i="1"/>
  <c r="AX469" i="1"/>
  <c r="AZ469" i="1" l="1" a="1"/>
  <c r="AZ469" i="1" s="1"/>
  <c r="BA469" i="1" s="1"/>
  <c r="AV470" i="1" s="1"/>
  <c r="AX470" i="1" l="1"/>
  <c r="AY470" i="1"/>
  <c r="AW470" i="1"/>
  <c r="AZ470" i="1" l="1" a="1"/>
  <c r="AZ470" i="1" s="1"/>
  <c r="BA470" i="1" s="1"/>
  <c r="AV471" i="1" s="1"/>
  <c r="AY471" i="1" l="1"/>
  <c r="AW471" i="1"/>
  <c r="AX471" i="1"/>
  <c r="AZ471" i="1" l="1" a="1"/>
  <c r="AZ471" i="1" s="1"/>
  <c r="BA471" i="1" s="1"/>
  <c r="AV472" i="1" s="1"/>
  <c r="AW472" i="1" l="1"/>
  <c r="AY472" i="1"/>
  <c r="AX472" i="1"/>
  <c r="AZ472" i="1" l="1" a="1"/>
  <c r="AZ472" i="1" s="1"/>
  <c r="BA472" i="1" s="1"/>
  <c r="AV473" i="1" s="1"/>
  <c r="AW473" i="1" s="1"/>
  <c r="AX473" i="1" l="1"/>
  <c r="AY473" i="1"/>
  <c r="AZ473" i="1" a="1"/>
  <c r="AZ473" i="1" s="1"/>
  <c r="BA473" i="1" s="1"/>
  <c r="AV474" i="1" s="1"/>
  <c r="AX474" i="1" l="1"/>
  <c r="AW474" i="1"/>
  <c r="AY474" i="1"/>
  <c r="AZ474" i="1" l="1" a="1"/>
  <c r="AZ474" i="1" s="1"/>
  <c r="BA474" i="1" s="1"/>
  <c r="AV475" i="1" s="1"/>
  <c r="AY475" i="1" l="1"/>
  <c r="AW475" i="1"/>
  <c r="AX475" i="1"/>
  <c r="AZ475" i="1" l="1" a="1"/>
  <c r="AZ475" i="1" s="1"/>
  <c r="BA475" i="1" s="1"/>
  <c r="AV476" i="1" s="1"/>
  <c r="AY476" i="1" s="1"/>
  <c r="AX476" i="1" l="1"/>
  <c r="AW476" i="1"/>
  <c r="AZ476" i="1" s="1" a="1"/>
  <c r="AZ476" i="1" s="1"/>
  <c r="BA476" i="1" s="1"/>
  <c r="AV477" i="1" s="1"/>
  <c r="AW477" i="1" l="1"/>
  <c r="AX477" i="1"/>
  <c r="AY477" i="1"/>
  <c r="AZ477" i="1" l="1" a="1"/>
  <c r="AZ477" i="1" s="1"/>
  <c r="BA477" i="1" s="1"/>
  <c r="AV478" i="1" s="1"/>
  <c r="AX478" i="1" s="1"/>
  <c r="AY478" i="1" l="1"/>
  <c r="AW478" i="1"/>
  <c r="AZ478" i="1" s="1" a="1"/>
  <c r="AZ478" i="1" s="1"/>
  <c r="BA478" i="1" s="1"/>
  <c r="AV479" i="1" s="1"/>
  <c r="AY479" i="1" l="1"/>
  <c r="AW479" i="1"/>
  <c r="AX479" i="1"/>
  <c r="AZ479" i="1" l="1" a="1"/>
  <c r="AZ479" i="1" s="1"/>
  <c r="BA479" i="1" s="1"/>
  <c r="AV480" i="1" s="1"/>
  <c r="AX480" i="1"/>
  <c r="AY480" i="1"/>
  <c r="AW480" i="1"/>
  <c r="AZ480" i="1" l="1" a="1"/>
  <c r="AZ480" i="1" s="1"/>
  <c r="BA480" i="1" s="1"/>
  <c r="AV481" i="1" s="1"/>
  <c r="AW481" i="1" l="1"/>
  <c r="AX481" i="1"/>
  <c r="AY481" i="1"/>
  <c r="AZ481" i="1" l="1" a="1"/>
  <c r="AZ481" i="1" s="1"/>
  <c r="BA481" i="1" s="1"/>
  <c r="AV482" i="1" s="1"/>
  <c r="AX482" i="1" l="1"/>
  <c r="AW482" i="1"/>
  <c r="AY482" i="1"/>
  <c r="AZ482" i="1" l="1" a="1"/>
  <c r="AZ482" i="1" s="1"/>
  <c r="BA482" i="1" s="1"/>
  <c r="AV483" i="1" s="1"/>
  <c r="AY483" i="1" s="1"/>
  <c r="AW483" i="1" l="1"/>
  <c r="AX483" i="1"/>
  <c r="AZ483" i="1" l="1" a="1"/>
  <c r="AZ483" i="1" s="1"/>
  <c r="BA483" i="1" s="1"/>
  <c r="AV484" i="1" s="1"/>
  <c r="AX484" i="1" l="1"/>
  <c r="AW484" i="1"/>
  <c r="AY484" i="1"/>
  <c r="AZ484" i="1" l="1" a="1"/>
  <c r="AZ484" i="1" s="1"/>
  <c r="BA484" i="1" s="1"/>
  <c r="AV485" i="1" s="1"/>
  <c r="AX485" i="1" l="1"/>
  <c r="AY485" i="1"/>
  <c r="AW485" i="1"/>
  <c r="AZ485" i="1" l="1" a="1"/>
  <c r="AZ485" i="1" s="1"/>
  <c r="BA485" i="1" s="1"/>
  <c r="AV486" i="1" s="1"/>
  <c r="AX486" i="1"/>
  <c r="AY486" i="1"/>
  <c r="AW486" i="1"/>
  <c r="AZ486" i="1" l="1" a="1"/>
  <c r="AZ486" i="1" s="1"/>
  <c r="BA486" i="1" s="1"/>
  <c r="AV487" i="1" s="1"/>
  <c r="AW487" i="1" l="1"/>
  <c r="AX487" i="1"/>
  <c r="AY487" i="1"/>
  <c r="AZ487" i="1" l="1" a="1"/>
  <c r="AZ487" i="1" s="1"/>
  <c r="BA487" i="1" s="1"/>
  <c r="AV488" i="1" s="1"/>
  <c r="AX488" i="1" l="1"/>
  <c r="AY488" i="1"/>
  <c r="AW488" i="1"/>
  <c r="AZ488" i="1" s="1" a="1"/>
  <c r="AZ488" i="1" s="1"/>
  <c r="BA488" i="1" s="1"/>
  <c r="AV489" i="1" s="1"/>
  <c r="AW489" i="1" l="1"/>
  <c r="AY489" i="1"/>
  <c r="AX489" i="1"/>
  <c r="AZ489" i="1" l="1" a="1"/>
  <c r="AZ489" i="1" s="1"/>
  <c r="BA489" i="1" s="1"/>
  <c r="AV490" i="1" s="1"/>
  <c r="AW490" i="1" l="1"/>
  <c r="AY490" i="1"/>
  <c r="AX490" i="1"/>
  <c r="AZ490" i="1" l="1" a="1"/>
  <c r="AZ490" i="1" s="1"/>
  <c r="BA490" i="1" s="1"/>
  <c r="AV491" i="1" s="1"/>
  <c r="AW491" i="1" s="1"/>
  <c r="AX491" i="1" l="1"/>
  <c r="AY491" i="1"/>
  <c r="AZ491" i="1" a="1"/>
  <c r="AZ491" i="1" s="1"/>
  <c r="BA491" i="1" s="1"/>
  <c r="AV492" i="1" s="1"/>
  <c r="AX492" i="1" s="1"/>
  <c r="AW492" i="1" l="1"/>
  <c r="AY492" i="1"/>
  <c r="AZ492" i="1" a="1"/>
  <c r="AZ492" i="1" s="1"/>
  <c r="BA492" i="1" s="1"/>
  <c r="AV493" i="1" s="1"/>
  <c r="AW493" i="1" l="1"/>
  <c r="AX493" i="1"/>
  <c r="AY493" i="1"/>
  <c r="AZ493" i="1" l="1" a="1"/>
  <c r="AZ493" i="1" s="1"/>
  <c r="BA493" i="1" s="1"/>
  <c r="AV494" i="1" s="1"/>
  <c r="AX494" i="1" l="1"/>
  <c r="AW494" i="1"/>
  <c r="AY494" i="1"/>
  <c r="AZ494" i="1" l="1" a="1"/>
  <c r="AZ494" i="1" s="1"/>
  <c r="BA494" i="1" s="1"/>
  <c r="AV495" i="1" s="1"/>
  <c r="AY495" i="1" s="1"/>
  <c r="AW495" i="1" l="1"/>
  <c r="AX495" i="1"/>
  <c r="AZ495" i="1" l="1" a="1"/>
  <c r="AZ495" i="1" s="1"/>
  <c r="BA495" i="1" s="1"/>
  <c r="AV496" i="1" s="1"/>
  <c r="AW496" i="1" l="1"/>
  <c r="AY496" i="1"/>
  <c r="AX496" i="1"/>
  <c r="AZ496" i="1" l="1" a="1"/>
  <c r="AZ496" i="1" s="1"/>
  <c r="BA496" i="1" s="1"/>
  <c r="AV497" i="1" s="1"/>
  <c r="AW497" i="1" l="1"/>
  <c r="AX497" i="1"/>
  <c r="AY497" i="1"/>
  <c r="AZ497" i="1" l="1" a="1"/>
  <c r="AZ497" i="1" s="1"/>
  <c r="BA497" i="1" s="1"/>
  <c r="AV498" i="1" s="1"/>
  <c r="AX498" i="1" s="1"/>
  <c r="AW498" i="1" l="1"/>
  <c r="AY498" i="1"/>
  <c r="AZ498" i="1" a="1"/>
  <c r="AZ498" i="1" s="1"/>
  <c r="BA49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<sst xmlns="http://schemas.openxmlformats.org/spreadsheetml/2006/main" count="4246" uniqueCount="480">
  <si>
    <t>wk</t>
  </si>
  <si>
    <t>day</t>
  </si>
  <si>
    <t>date</t>
  </si>
  <si>
    <t>time</t>
  </si>
  <si>
    <t>result</t>
  </si>
  <si>
    <t>home</t>
  </si>
  <si>
    <t>away</t>
  </si>
  <si>
    <t>attendance</t>
  </si>
  <si>
    <t>venue</t>
  </si>
  <si>
    <t>referee</t>
  </si>
  <si>
    <t>match_report</t>
  </si>
  <si>
    <t>season</t>
  </si>
  <si>
    <t>mean_points_home</t>
  </si>
  <si>
    <t>mean_score_home</t>
  </si>
  <si>
    <t>mean_points_away</t>
  </si>
  <si>
    <t>mean_score_away</t>
  </si>
  <si>
    <t>b365h</t>
  </si>
  <si>
    <t>b365d</t>
  </si>
  <si>
    <t>b365a</t>
  </si>
  <si>
    <t>bwh</t>
  </si>
  <si>
    <t>bwd</t>
  </si>
  <si>
    <t>bwa</t>
  </si>
  <si>
    <t>iwh</t>
  </si>
  <si>
    <t>iwd</t>
  </si>
  <si>
    <t>iwa</t>
  </si>
  <si>
    <t>psh</t>
  </si>
  <si>
    <t>psd</t>
  </si>
  <si>
    <t>psa</t>
  </si>
  <si>
    <t>whh</t>
  </si>
  <si>
    <t>whd</t>
  </si>
  <si>
    <t>wha</t>
  </si>
  <si>
    <t>vch</t>
  </si>
  <si>
    <t>vcd</t>
  </si>
  <si>
    <t>vca</t>
  </si>
  <si>
    <t>max_h</t>
  </si>
  <si>
    <t>max_d</t>
  </si>
  <si>
    <t>max_a</t>
  </si>
  <si>
    <t>avg_h</t>
  </si>
  <si>
    <t>avg_d</t>
  </si>
  <si>
    <t>avg_a</t>
  </si>
  <si>
    <t>bet</t>
  </si>
  <si>
    <t>wager_h</t>
  </si>
  <si>
    <t>wager_d</t>
  </si>
  <si>
    <t>wager_a</t>
  </si>
  <si>
    <t>wager_total</t>
  </si>
  <si>
    <t>profit</t>
  </si>
  <si>
    <t>cum_profit</t>
  </si>
  <si>
    <t>Fri</t>
  </si>
  <si>
    <t>20:45 (13:45)</t>
  </si>
  <si>
    <t>H</t>
  </si>
  <si>
    <t>Lyon</t>
  </si>
  <si>
    <t>Angers</t>
  </si>
  <si>
    <t>Groupama Stadium</t>
  </si>
  <si>
    <t>Beno√Æt Millot</t>
  </si>
  <si>
    <t>Match Report</t>
  </si>
  <si>
    <t>Sat</t>
  </si>
  <si>
    <t>17:30 (10:30)</t>
  </si>
  <si>
    <t>D</t>
  </si>
  <si>
    <t>Nantes</t>
  </si>
  <si>
    <t>Marseille</t>
  </si>
  <si>
    <t>Stade de la Beaujoire - Louis Fonteneau</t>
  </si>
  <si>
    <t>Beno√Æt Bastien</t>
  </si>
  <si>
    <t>20:00 (13:00)</t>
  </si>
  <si>
    <t>Bordeaux</t>
  </si>
  <si>
    <t>Montpellier</t>
  </si>
  <si>
    <t>Stade Matmut-Atlantique</t>
  </si>
  <si>
    <t>Franck Schneider</t>
  </si>
  <si>
    <t>Sun</t>
  </si>
  <si>
    <t>21:00 (14:00)</t>
  </si>
  <si>
    <t>Rennes</t>
  </si>
  <si>
    <t>Paris S-G</t>
  </si>
  <si>
    <t>Roazhon Park</t>
  </si>
  <si>
    <t>Antony Gautier</t>
  </si>
  <si>
    <t>15:30 (08:30)</t>
  </si>
  <si>
    <t>A</t>
  </si>
  <si>
    <t>Mainz 05</t>
  </si>
  <si>
    <t>M'Gladbach</t>
  </si>
  <si>
    <t>Opel Arena</t>
  </si>
  <si>
    <t>Martin Petersen</t>
  </si>
  <si>
    <t>Metz</t>
  </si>
  <si>
    <t>Stade Raymond Kopa</t>
  </si>
  <si>
    <t>St√©phanie Frappart</t>
  </si>
  <si>
    <t>17:00 (10:00)</t>
  </si>
  <si>
    <t>Strasbourg</t>
  </si>
  <si>
    <t>Stade de la Meinau</t>
  </si>
  <si>
    <t>Ruddy Buquet</t>
  </si>
  <si>
    <t>Osasuna</t>
  </si>
  <si>
    <t>Barcelona</t>
  </si>
  <si>
    <t>Estadio El Sadar</t>
  </si>
  <si>
    <t>Juan Mart√≠nez</t>
  </si>
  <si>
    <t>15:00 (09:00)</t>
  </si>
  <si>
    <t>Chelsea</t>
  </si>
  <si>
    <t>Sheffield Utd</t>
  </si>
  <si>
    <t>Stamford Bridge</t>
  </si>
  <si>
    <t>Stuart Attwell</t>
  </si>
  <si>
    <t>N√Æmes</t>
  </si>
  <si>
    <t>Brest</t>
  </si>
  <si>
    <t>Stade des Costi√®res</t>
  </si>
  <si>
    <t>Thomas L√©onard</t>
  </si>
  <si>
    <t>17:30 (11:30)</t>
  </si>
  <si>
    <t>Norwich City</t>
  </si>
  <si>
    <t>Manchester City</t>
  </si>
  <si>
    <t>Carrow Road</t>
  </si>
  <si>
    <t>Kevin Friend</t>
  </si>
  <si>
    <t>Nice</t>
  </si>
  <si>
    <t>Stade de la Mosson</t>
  </si>
  <si>
    <t>Olivier Thual</t>
  </si>
  <si>
    <t>18:00 (11:00)</t>
  </si>
  <si>
    <t>Roma</t>
  </si>
  <si>
    <t>Sassuolo</t>
  </si>
  <si>
    <t>Stadio Olimpico</t>
  </si>
  <si>
    <t>Daniele Chiffi</t>
  </si>
  <si>
    <t>12:00 (05:00)</t>
  </si>
  <si>
    <t>Eibar</t>
  </si>
  <si>
    <t>Espanyol</t>
  </si>
  <si>
    <t>Estadio Municipal de Ipur√∫a</t>
  </si>
  <si>
    <t>Valent√≠n Pizarro</t>
  </si>
  <si>
    <t>Hertha BSC</t>
  </si>
  <si>
    <t>Paderborn 07</t>
  </si>
  <si>
    <t>Olympiastadion Berlin</t>
  </si>
  <si>
    <t>Frank Willenborg</t>
  </si>
  <si>
    <t>12:30 (05:30)</t>
  </si>
  <si>
    <t>SPAL</t>
  </si>
  <si>
    <t>Stadio Citt√† del Tricolore</t>
  </si>
  <si>
    <t>Maurizio Mariani</t>
  </si>
  <si>
    <t>14:00 (08:00)</t>
  </si>
  <si>
    <t>West Ham</t>
  </si>
  <si>
    <t>Manchester Utd</t>
  </si>
  <si>
    <t>London Stadium</t>
  </si>
  <si>
    <t>Anthony Taylor</t>
  </si>
  <si>
    <t>Tue</t>
  </si>
  <si>
    <t>Brescia</t>
  </si>
  <si>
    <t>Juventus</t>
  </si>
  <si>
    <t>Stadio Mario Rigamonti</t>
  </si>
  <si>
    <t>Fabrizio Pasqua</t>
  </si>
  <si>
    <t>Monaco</t>
  </si>
  <si>
    <t>Stade Louis II.</t>
  </si>
  <si>
    <t>Mikael Lesage</t>
  </si>
  <si>
    <t>Hoffenheim</t>
  </si>
  <si>
    <t>PreZero Arena</t>
  </si>
  <si>
    <t>Harm Osmers</t>
  </si>
  <si>
    <t>Cagliari</t>
  </si>
  <si>
    <t>Hellas Verona</t>
  </si>
  <si>
    <t>Sardegna Arena</t>
  </si>
  <si>
    <t>Manuel Volpi</t>
  </si>
  <si>
    <t>Benteler-Arena</t>
  </si>
  <si>
    <t>Patrick Ittrich</t>
  </si>
  <si>
    <t>13:30 (06:30)</t>
  </si>
  <si>
    <t>Augsburg</t>
  </si>
  <si>
    <t>Stadion im Borussia-Park</t>
  </si>
  <si>
    <t>Robert Schr√∂der</t>
  </si>
  <si>
    <t>20:00 (14:00)</t>
  </si>
  <si>
    <t>Southampton</t>
  </si>
  <si>
    <t>Leicester City</t>
  </si>
  <si>
    <t>St. Mary's Stadium</t>
  </si>
  <si>
    <t>Andre Marriner</t>
  </si>
  <si>
    <t>12:00 (06:00)</t>
  </si>
  <si>
    <t>Celta Vigo</t>
  </si>
  <si>
    <t>Real Sociedad</t>
  </si>
  <si>
    <t>Estadio de Bala√≠dos</t>
  </si>
  <si>
    <t>18:30 (12:30)</t>
  </si>
  <si>
    <t>Sevilla</t>
  </si>
  <si>
    <t>Getafe</t>
  </si>
  <si>
    <t>Estadio Ram√≥n S√°nchez Pizju√°n</t>
  </si>
  <si>
    <t>Jos√© S√°nchez</t>
  </si>
  <si>
    <t>21:15 (15:15)</t>
  </si>
  <si>
    <t>Valladolid</t>
  </si>
  <si>
    <t>Camp Nou</t>
  </si>
  <si>
    <t>Alberola Rojas</t>
  </si>
  <si>
    <t>20:30 (14:30)</t>
  </si>
  <si>
    <t>15:30 (09:30)</t>
  </si>
  <si>
    <t>Werder Bremen</t>
  </si>
  <si>
    <t>Freiburg</t>
  </si>
  <si>
    <t>Weserstadion</t>
  </si>
  <si>
    <t>Christian Dingert</t>
  </si>
  <si>
    <t>Toulouse</t>
  </si>
  <si>
    <t>Stadium Municipal</t>
  </si>
  <si>
    <t>Karim Abed</t>
  </si>
  <si>
    <t>Arsenal</t>
  </si>
  <si>
    <t>King Power Stadium</t>
  </si>
  <si>
    <t>Chris Kavanagh</t>
  </si>
  <si>
    <t>Fiorentina</t>
  </si>
  <si>
    <t>Federico La Penna</t>
  </si>
  <si>
    <t>15:00 (08:00)</t>
  </si>
  <si>
    <t>Lazio</t>
  </si>
  <si>
    <t>Lecce</t>
  </si>
  <si>
    <t>Gianluca Manganiello</t>
  </si>
  <si>
    <t>Parma</t>
  </si>
  <si>
    <t>Stadio Ennio Tardini</t>
  </si>
  <si>
    <t>Michael Fabbri</t>
  </si>
  <si>
    <t>18:30 (11:30)</t>
  </si>
  <si>
    <t>Bayern Munich</t>
  </si>
  <si>
    <t>Leverkusen</t>
  </si>
  <si>
    <t>Allianz Arena</t>
  </si>
  <si>
    <t>Guido Winkmann</t>
  </si>
  <si>
    <t>Atalanta</t>
  </si>
  <si>
    <t>Daniele Doveri</t>
  </si>
  <si>
    <t>Felix Zwayer</t>
  </si>
  <si>
    <t>Mon</t>
  </si>
  <si>
    <t>20:30 (13:30)</t>
  </si>
  <si>
    <t>Eint Frankfurt</t>
  </si>
  <si>
    <t>Manuel Gr√§fe</t>
  </si>
  <si>
    <t>Wed</t>
  </si>
  <si>
    <t>19:30 (13:30)</t>
  </si>
  <si>
    <t>RB Leipzig</t>
  </si>
  <si>
    <t>Red Bull Arena</t>
  </si>
  <si>
    <t>Deniz Aytekin</t>
  </si>
  <si>
    <t>Stadio Atleti Azzurri d'Italia</t>
  </si>
  <si>
    <t>Paolo Valeri</t>
  </si>
  <si>
    <t>Bournemouth</t>
  </si>
  <si>
    <t>Liverpool</t>
  </si>
  <si>
    <t>Vitality Stadium</t>
  </si>
  <si>
    <t>Luca Pairetto</t>
  </si>
  <si>
    <t>Aston Villa</t>
  </si>
  <si>
    <t>Villa Park</t>
  </si>
  <si>
    <t>Michael Oliver</t>
  </si>
  <si>
    <t>Reims</t>
  </si>
  <si>
    <t>Saint-√âtienne</t>
  </si>
  <si>
    <t>Stade Auguste-Delaune II</t>
  </si>
  <si>
    <t>Mike Dean</t>
  </si>
  <si>
    <t>Dortmund</t>
  </si>
  <si>
    <t>Signal Iduna Park</t>
  </si>
  <si>
    <t>Tobias Stieler</t>
  </si>
  <si>
    <t>K√∂ln</t>
  </si>
  <si>
    <t>RheinEnergieSTADION</t>
  </si>
  <si>
    <t>Daniel Schlager</t>
  </si>
  <si>
    <t>16:30 (10:30)</t>
  </si>
  <si>
    <t>Tottenham</t>
  </si>
  <si>
    <t>Tottenham Hotspur Stadium</t>
  </si>
  <si>
    <t>Thu</t>
  </si>
  <si>
    <t>Watford</t>
  </si>
  <si>
    <t>Bramall Lane</t>
  </si>
  <si>
    <t>David Coote</t>
  </si>
  <si>
    <t>Martin Atkinson</t>
  </si>
  <si>
    <t>20:15 (14:15)</t>
  </si>
  <si>
    <t>16:00 (09:00)</t>
  </si>
  <si>
    <t>Betis</t>
  </si>
  <si>
    <t>Coliseum Alfonso P√©rez</t>
  </si>
  <si>
    <t>Eduardo Prieto</t>
  </si>
  <si>
    <t>D√ºsseldorf</t>
  </si>
  <si>
    <t>Merkur Spielarena</t>
  </si>
  <si>
    <t>Bologna</t>
  </si>
  <si>
    <t>Stadio Renato Dall'Ara</t>
  </si>
  <si>
    <t>Milan</t>
  </si>
  <si>
    <t>Stadio Giuseppe Meazza</t>
  </si>
  <si>
    <t>Stade de Nice</t>
  </si>
  <si>
    <t>Schwarzwald-Stadion</t>
  </si>
  <si>
    <t>Felix Brych</t>
  </si>
  <si>
    <t>Newcastle Utd</t>
  </si>
  <si>
    <t>Burnley</t>
  </si>
  <si>
    <t>St. James' Park</t>
  </si>
  <si>
    <t>Andy Madley</t>
  </si>
  <si>
    <t>Everton</t>
  </si>
  <si>
    <t>Goodison Park</t>
  </si>
  <si>
    <t>18:00 (12:00)</t>
  </si>
  <si>
    <t>Union Berlin</t>
  </si>
  <si>
    <t>NA</t>
  </si>
  <si>
    <t>Bastian Dankert</t>
  </si>
  <si>
    <t>Marco Fritz</t>
  </si>
  <si>
    <t>22:00 (15:00)</t>
  </si>
  <si>
    <t>Antonio Mat√©u Lahoz</t>
  </si>
  <si>
    <t>Wolfsburg</t>
  </si>
  <si>
    <t>Volkswagen Arena</t>
  </si>
  <si>
    <t>Mallorca</t>
  </si>
  <si>
    <t>Iberostar Estadi</t>
  </si>
  <si>
    <t>Carlos del Cerro</t>
  </si>
  <si>
    <t>Estadio Municipal de Anoeta</t>
  </si>
  <si>
    <t>Adri√°n Cordero</t>
  </si>
  <si>
    <t>Legan√©s</t>
  </si>
  <si>
    <t>Tobias Welz</t>
  </si>
  <si>
    <t>19:30 (12:30)</t>
  </si>
  <si>
    <t>Real Madrid</t>
  </si>
  <si>
    <t>Javier Estrada</t>
  </si>
  <si>
    <t>21:45 (14:45)</t>
  </si>
  <si>
    <t>Genoa</t>
  </si>
  <si>
    <t>Stadio Comunale Luigi Ferraris</t>
  </si>
  <si>
    <t>Piero Giacomelli</t>
  </si>
  <si>
    <t>Daniele Orsato</t>
  </si>
  <si>
    <t>Sampdoria</t>
  </si>
  <si>
    <t>Giampaolo Calvarese</t>
  </si>
  <si>
    <t>Graham Scott</t>
  </si>
  <si>
    <t>Crystal Palace</t>
  </si>
  <si>
    <t>Selhurst Park</t>
  </si>
  <si>
    <t>Simon Hooper</t>
  </si>
  <si>
    <t>Brighton</t>
  </si>
  <si>
    <t>The American Express Community Stadium</t>
  </si>
  <si>
    <t>Alav√©s</t>
  </si>
  <si>
    <t>Granada</t>
  </si>
  <si>
    <t>Estadio de Mendizorroza</t>
  </si>
  <si>
    <t>Estadio Alfredo Di St√©fano</t>
  </si>
  <si>
    <t>Etihad Stadium</t>
  </si>
  <si>
    <t>Atl√©tico Madrid</t>
  </si>
  <si>
    <t>Estadio Wanda Metropolitano</t>
  </si>
  <si>
    <t>Mario Melero</t>
  </si>
  <si>
    <t>Villarreal</t>
  </si>
  <si>
    <t>Estadio de la Cer√°mica</t>
  </si>
  <si>
    <t>14:15 (08:15)</t>
  </si>
  <si>
    <t>Craig Pawson</t>
  </si>
  <si>
    <t>Antonio Giua</t>
  </si>
  <si>
    <t>Francesco Fourneau</t>
  </si>
  <si>
    <t>Jos√© Luis Munuera</t>
  </si>
  <si>
    <t>Lee Mason</t>
  </si>
  <si>
    <t>Jes√∫s Gil</t>
  </si>
  <si>
    <t>Napoli</t>
  </si>
  <si>
    <t>Stadio San Paolo</t>
  </si>
  <si>
    <t>Old Trafford</t>
  </si>
  <si>
    <t>Estadio Benito Villamar√≠n</t>
  </si>
  <si>
    <t>David Medi√©</t>
  </si>
  <si>
    <t>Levante</t>
  </si>
  <si>
    <t>Estadio Ciudad de Valencia</t>
  </si>
  <si>
    <t>Ricardo de Burgos</t>
  </si>
  <si>
    <t>Athletic Club</t>
  </si>
  <si>
    <t>Estadio Nuevo Los C√°rmenes</t>
  </si>
  <si>
    <t>Vicarage Road Stadium</t>
  </si>
  <si>
    <t>Udinese</t>
  </si>
  <si>
    <t>Dacia Arena</t>
  </si>
  <si>
    <t>Massimiliano Irrati</t>
  </si>
  <si>
    <t>Marco Piccinini</t>
  </si>
  <si>
    <t>Inter</t>
  </si>
  <si>
    <t>Davide Massa</t>
  </si>
  <si>
    <t>Stadio Marc'Antonio Bentegodi</t>
  </si>
  <si>
    <t>Allianz Stadium</t>
  </si>
  <si>
    <t>16:00 (10:00)</t>
  </si>
  <si>
    <t>Luca Massimi</t>
  </si>
  <si>
    <t>Stadio Paolo Mazza</t>
  </si>
  <si>
    <t>Alessandro Prontera</t>
  </si>
  <si>
    <t>Lille</t>
  </si>
  <si>
    <t>Stade Pierre-Mauroy</t>
  </si>
  <si>
    <t>Cl√©ment Turpin</t>
  </si>
  <si>
    <t>13:00 (06:00)</t>
  </si>
  <si>
    <t>Fran√ßois Letexier</t>
  </si>
  <si>
    <t>Dijon</t>
  </si>
  <si>
    <t>Jonathan Moss</t>
  </si>
  <si>
    <t>Parc des Princes</t>
  </si>
  <si>
    <t>Orange V√©lodrome</t>
  </si>
  <si>
    <t>Daniel Siebert</t>
  </si>
  <si>
    <t>Sascha Stegemann</t>
  </si>
  <si>
    <t>Lens</t>
  </si>
  <si>
    <t>Stade Bollaert-Delelis</t>
  </si>
  <si>
    <t>BayArena</t>
  </si>
  <si>
    <t>Lorient</t>
  </si>
  <si>
    <t>Stade Yves Allainmat - Le Moustoir</t>
  </si>
  <si>
    <t>21:30 (14:30)</t>
  </si>
  <si>
    <t>Stadion An der Alten F√∂rsterei</t>
  </si>
  <si>
    <t>Stadio Artemio Franchi</t>
  </si>
  <si>
    <t>Bastien Dechepy</t>
  </si>
  <si>
    <t>Leeds United</t>
  </si>
  <si>
    <t>Elland Road</t>
  </si>
  <si>
    <t>19:15 (13:15)</t>
  </si>
  <si>
    <t>C√©sar Soto</t>
  </si>
  <si>
    <t>Peter Bankes</t>
  </si>
  <si>
    <t>Benevento</t>
  </si>
  <si>
    <t>Giovanni Ayroldi</t>
  </si>
  <si>
    <t>Valencia</t>
  </si>
  <si>
    <t>Huesca</t>
  </si>
  <si>
    <t>Estadio El Alcoraz</t>
  </si>
  <si>
    <t>Jorge Figueroa</t>
  </si>
  <si>
    <t>Aur√©lien Petit</t>
  </si>
  <si>
    <t>West Brom</t>
  </si>
  <si>
    <t>The Hawthorns</t>
  </si>
  <si>
    <t>Schalke 04</t>
  </si>
  <si>
    <t>Willy Delajod</t>
  </si>
  <si>
    <t>20:00 (15:00)</t>
  </si>
  <si>
    <t>Turf Moor</t>
  </si>
  <si>
    <t>Stuttgart</t>
  </si>
  <si>
    <t>Veltins-Arena</t>
  </si>
  <si>
    <t>Benjamin Brand</t>
  </si>
  <si>
    <t>WWK Arena</t>
  </si>
  <si>
    <t>15:00 (10:00)</t>
  </si>
  <si>
    <t>Eugenio Abbattista</t>
  </si>
  <si>
    <t>Mercedes-Benz Arena</t>
  </si>
  <si>
    <t>Spezia</t>
  </si>
  <si>
    <t>Stadio Ciro Vigorito</t>
  </si>
  <si>
    <t>Gianluca Aureliano</t>
  </si>
  <si>
    <t>Sven Jablonski</t>
  </si>
  <si>
    <t>Torino</t>
  </si>
  <si>
    <t>Crotone</t>
  </si>
  <si>
    <t>Stadio Olimpico di Torino</t>
  </si>
  <si>
    <t>16:15 (09:15)</t>
  </si>
  <si>
    <t>Estadio Municipal Jos√© Zorrilla</t>
  </si>
  <si>
    <t>Commerzbank-Arena</t>
  </si>
  <si>
    <t>S√∂ren Storks</t>
  </si>
  <si>
    <t>C√°diz</t>
  </si>
  <si>
    <t>Estadio Nuevo Mirandilla</t>
  </si>
  <si>
    <t>Elche</t>
  </si>
  <si>
    <t>Santiago Jaime</t>
  </si>
  <si>
    <t>J√©r√¥me Brisard</t>
  </si>
  <si>
    <t>Simone Sozza</t>
  </si>
  <si>
    <t>Robert Hartmann</t>
  </si>
  <si>
    <t>Stadio Dino Manuzzi</t>
  </si>
  <si>
    <t>Rosario Abisso</t>
  </si>
  <si>
    <t>Alejandro Hern√°ndez</t>
  </si>
  <si>
    <t>Stadio Ezio Scida</t>
  </si>
  <si>
    <t>Fabio Maresca</t>
  </si>
  <si>
    <t>Estadio de Mestalla</t>
  </si>
  <si>
    <t>Robert Jones</t>
  </si>
  <si>
    <t>14:00 (07:00)</t>
  </si>
  <si>
    <t>San Mam√©s</t>
  </si>
  <si>
    <t>Marco Di Bello</t>
  </si>
  <si>
    <t>Ivan Pezzuto</t>
  </si>
  <si>
    <t>Anfield</t>
  </si>
  <si>
    <t>Guillermo Cuadra</t>
  </si>
  <si>
    <t>Juan Sacchi</t>
  </si>
  <si>
    <t>Stade Gaston G√©rard</t>
  </si>
  <si>
    <t>Wolves</t>
  </si>
  <si>
    <t>Fulham</t>
  </si>
  <si>
    <t>Benjamin Cortus</t>
  </si>
  <si>
    <t>Paul Tierney</t>
  </si>
  <si>
    <t>J√©r√©mie Pignard</t>
  </si>
  <si>
    <t>12:30 (06:30)</t>
  </si>
  <si>
    <t>Livio Marinelli</t>
  </si>
  <si>
    <t>Valerio Marini</t>
  </si>
  <si>
    <t>Estadio Manuel Mart√≠nez Valero</t>
  </si>
  <si>
    <t>Marco Guida</t>
  </si>
  <si>
    <t>19:00 (13:00)</t>
  </si>
  <si>
    <t>Johan Hamel</t>
  </si>
  <si>
    <t>Florent Batta</t>
  </si>
  <si>
    <t>Arminia</t>
  </si>
  <si>
    <t>19:00 (12:00)</t>
  </si>
  <si>
    <t>Emirates Stadium</t>
  </si>
  <si>
    <t>Craven Cottage</t>
  </si>
  <si>
    <t>Tobias Reichel</t>
  </si>
  <si>
    <t>Matthias J√∂llenbeck</t>
  </si>
  <si>
    <t>Federico Dionisi</t>
  </si>
  <si>
    <t>Eric Wattellier</t>
  </si>
  <si>
    <t>Stade Geoffroy-Guichard</t>
  </si>
  <si>
    <t>Stade Saint-Symphorien</t>
  </si>
  <si>
    <t>Bochum</t>
  </si>
  <si>
    <t>Vonovia Ruhrstadion</t>
  </si>
  <si>
    <t>Greuther F√ºrth</t>
  </si>
  <si>
    <t>Alejandro Mu√±√≠z</t>
  </si>
  <si>
    <t>20:45 (14:45)</t>
  </si>
  <si>
    <t>21:00 (15:00)</t>
  </si>
  <si>
    <t>Troyes</t>
  </si>
  <si>
    <t>Clermont Foot</t>
  </si>
  <si>
    <t>Pierre Gaillouste</t>
  </si>
  <si>
    <t>Sch√ºcoArena</t>
  </si>
  <si>
    <t>Jeremy Stinat</t>
  </si>
  <si>
    <t>Empoli</t>
  </si>
  <si>
    <t>Matteo Gariglio</t>
  </si>
  <si>
    <t>Venezia</t>
  </si>
  <si>
    <t>Stadio Pierluigi Penzo</t>
  </si>
  <si>
    <t>Pablo Gonz√°lez</t>
  </si>
  <si>
    <t>Stade Francis-Le Bl√©</t>
  </si>
  <si>
    <t>Estadio Santiago Bernab√©u</t>
  </si>
  <si>
    <t>Amaury Delerue</t>
  </si>
  <si>
    <t>Sportpark Ronhof Thomas Sommer</t>
  </si>
  <si>
    <t>Salernitana</t>
  </si>
  <si>
    <t>Stadio Arechi</t>
  </si>
  <si>
    <t>RCDE Stadium</t>
  </si>
  <si>
    <t>18:45 (11:45)</t>
  </si>
  <si>
    <t>Matteo Marchetti</t>
  </si>
  <si>
    <t>Florian Badst√ºbner</t>
  </si>
  <si>
    <t>Rayo Vallecano</t>
  </si>
  <si>
    <t>Estadio del Rayo Vallecano</t>
  </si>
  <si>
    <t>Isidro D√≠az de Mera</t>
  </si>
  <si>
    <t>18:05 (11:05)</t>
  </si>
  <si>
    <t>Stadio Alberto Picco</t>
  </si>
  <si>
    <t>20:50 (13:50)</t>
  </si>
  <si>
    <t>14:00 (09:00)</t>
  </si>
  <si>
    <t>Jarred Gillett</t>
  </si>
  <si>
    <t>20:15 (15:15)</t>
  </si>
  <si>
    <t>18:45 (12:45)</t>
  </si>
  <si>
    <t>Molineux Stadium</t>
  </si>
  <si>
    <t>12:30 (07:30)</t>
  </si>
  <si>
    <t>16:15 (10:15)</t>
  </si>
  <si>
    <t>Europa-Park Stadion</t>
  </si>
  <si>
    <t>Darren England</t>
  </si>
  <si>
    <t>Romain Lissorgue</t>
  </si>
  <si>
    <t>16:30 (09:30)</t>
  </si>
  <si>
    <t>19:45 (13:45)</t>
  </si>
  <si>
    <t>Brentford</t>
  </si>
  <si>
    <t>Brentford Community Stadium</t>
  </si>
  <si>
    <t>Michael Salisbury</t>
  </si>
  <si>
    <t>compounded_wager_total</t>
  </si>
  <si>
    <t>compounded_wager_h</t>
  </si>
  <si>
    <t>compounded_wager_d</t>
  </si>
  <si>
    <t>compounded_wager_a</t>
  </si>
  <si>
    <t>compounded_profit</t>
  </si>
  <si>
    <t>compounded_cum_profit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</si>
</sst>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498"/>
  <sheetViews>
    <sheetView tabSelected="1" topLeftCell="AR1" workbookViewId="0">
      <selection activeCell="BA10" sqref="BA10"/>
    </sheetView>
  </sheetViews>
  <sheetFormatPr baseColWidth="10" defaultRowHeight="16" x14ac:dyDescent="0.2"/>
  <sheetData>
    <row r="1" spans="1:5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474</v>
      </c>
      <c r="AW1" t="s">
        <v>475</v>
      </c>
      <c r="AX1" t="s">
        <v>476</v>
      </c>
      <c r="AY1" t="s">
        <v>477</v>
      </c>
      <c r="AZ1" t="s">
        <v>478</v>
      </c>
      <c r="BA1" t="s">
        <v>479</v>
      </c>
    </row>
    <row r="2" spans="1:53" x14ac:dyDescent="0.2">
      <c r="A2">
        <v>2</v>
      </c>
      <c r="B2" t="s">
        <v>47</v>
      </c>
      <c r="C2" s="1">
        <v>43693</v>
      </c>
      <c r="D2" t="s">
        <v>48</v>
      </c>
      <c r="E2" t="s">
        <v>49</v>
      </c>
      <c r="F2" t="s">
        <v>50</v>
      </c>
      <c r="G2" t="s">
        <v>51</v>
      </c>
      <c r="H2">
        <v>49871</v>
      </c>
      <c r="I2" t="s">
        <v>52</v>
      </c>
      <c r="J2" t="s">
        <v>53</v>
      </c>
      <c r="K2" t="s">
        <v>54</v>
      </c>
      <c r="L2">
        <v>2019</v>
      </c>
      <c r="M2">
        <v>1.75</v>
      </c>
      <c r="N2">
        <v>2.25</v>
      </c>
      <c r="O2">
        <v>1.5</v>
      </c>
      <c r="P2">
        <v>0.75</v>
      </c>
      <c r="Q2">
        <v>1.5</v>
      </c>
      <c r="R2">
        <v>4.33</v>
      </c>
      <c r="S2">
        <v>6</v>
      </c>
      <c r="T2">
        <v>1.48</v>
      </c>
      <c r="U2">
        <v>4.5</v>
      </c>
      <c r="V2">
        <v>6.5</v>
      </c>
      <c r="W2">
        <v>1.45</v>
      </c>
      <c r="X2">
        <v>4.4000000000000004</v>
      </c>
      <c r="Y2">
        <v>7.2</v>
      </c>
      <c r="Z2">
        <v>1.51</v>
      </c>
      <c r="AA2">
        <v>4.51</v>
      </c>
      <c r="AB2">
        <v>6.74</v>
      </c>
      <c r="AC2">
        <v>1.47</v>
      </c>
      <c r="AD2">
        <v>4.33</v>
      </c>
      <c r="AE2">
        <v>6.5</v>
      </c>
      <c r="AF2">
        <v>1.5</v>
      </c>
      <c r="AG2">
        <v>4.5</v>
      </c>
      <c r="AH2">
        <v>6.5</v>
      </c>
      <c r="AI2">
        <v>1.55</v>
      </c>
      <c r="AJ2">
        <v>4.6500000000000004</v>
      </c>
      <c r="AK2">
        <v>7.2</v>
      </c>
      <c r="AL2">
        <v>1.5</v>
      </c>
      <c r="AM2">
        <v>4.45</v>
      </c>
      <c r="AN2">
        <v>6.4</v>
      </c>
      <c r="AO2">
        <v>1</v>
      </c>
      <c r="AP2">
        <v>0.64573991031390099</v>
      </c>
      <c r="AQ2">
        <v>0.21524663677129999</v>
      </c>
      <c r="AR2">
        <v>0.139013452914798</v>
      </c>
      <c r="AS2">
        <v>1</v>
      </c>
      <c r="AT2" s="2">
        <v>8.9686098654717596E-4</v>
      </c>
      <c r="AU2" s="2">
        <v>8.9686098654717596E-4</v>
      </c>
    </row>
    <row r="3" spans="1:53" x14ac:dyDescent="0.2">
      <c r="A3">
        <v>2</v>
      </c>
      <c r="B3" t="s">
        <v>55</v>
      </c>
      <c r="C3" s="1">
        <v>43694</v>
      </c>
      <c r="D3" t="s">
        <v>56</v>
      </c>
      <c r="E3" t="s">
        <v>57</v>
      </c>
      <c r="F3" t="s">
        <v>58</v>
      </c>
      <c r="G3" t="s">
        <v>59</v>
      </c>
      <c r="H3">
        <v>34832</v>
      </c>
      <c r="I3" t="s">
        <v>60</v>
      </c>
      <c r="J3" t="s">
        <v>61</v>
      </c>
      <c r="K3" t="s">
        <v>54</v>
      </c>
      <c r="L3">
        <v>2019</v>
      </c>
      <c r="M3">
        <v>2.25</v>
      </c>
      <c r="N3">
        <v>2.25</v>
      </c>
      <c r="O3">
        <v>1.75</v>
      </c>
      <c r="P3">
        <v>2.25</v>
      </c>
      <c r="Q3">
        <v>2.6</v>
      </c>
      <c r="R3">
        <v>3.1</v>
      </c>
      <c r="S3">
        <v>2.9</v>
      </c>
      <c r="T3">
        <v>2.6</v>
      </c>
      <c r="U3">
        <v>3.2</v>
      </c>
      <c r="V3">
        <v>2.8</v>
      </c>
      <c r="W3">
        <v>2.5499999999999998</v>
      </c>
      <c r="X3">
        <v>3.2</v>
      </c>
      <c r="Y3">
        <v>2.85</v>
      </c>
      <c r="Z3">
        <v>2.62</v>
      </c>
      <c r="AA3">
        <v>3.16</v>
      </c>
      <c r="AB3">
        <v>3.01</v>
      </c>
      <c r="AC3">
        <v>2.5</v>
      </c>
      <c r="AD3">
        <v>3.2</v>
      </c>
      <c r="AE3">
        <v>2.88</v>
      </c>
      <c r="AF3">
        <v>2.5499999999999998</v>
      </c>
      <c r="AG3">
        <v>3.2</v>
      </c>
      <c r="AH3">
        <v>3</v>
      </c>
      <c r="AI3">
        <v>2.75</v>
      </c>
      <c r="AJ3">
        <v>3.34</v>
      </c>
      <c r="AK3">
        <v>3.01</v>
      </c>
      <c r="AL3">
        <v>2.58</v>
      </c>
      <c r="AM3">
        <v>3.16</v>
      </c>
      <c r="AN3">
        <v>2.88</v>
      </c>
      <c r="AO3">
        <v>1</v>
      </c>
      <c r="AP3">
        <v>0.365366933300382</v>
      </c>
      <c r="AQ3">
        <v>0.300826067837141</v>
      </c>
      <c r="AR3">
        <v>0.333806998862475</v>
      </c>
      <c r="AS3">
        <v>1</v>
      </c>
      <c r="AT3">
        <v>4.7590665760524004E-3</v>
      </c>
      <c r="AU3">
        <v>5.6559275625995796E-3</v>
      </c>
      <c r="AV3" s="2">
        <f>(AS3+AU2)</f>
        <v>1.0008968609865472</v>
      </c>
      <c r="AW3">
        <f>AV3/(1+AI3/AJ3+AI3/AK3)</f>
        <v>0.36569461664863417</v>
      </c>
      <c r="AX3">
        <f>AV3/(1+AJ3/AI3+AJ3/AK3)</f>
        <v>0.30109586700112095</v>
      </c>
      <c r="AY3">
        <f>AV3/(1+AK3/AI3+AK3/AJ3)</f>
        <v>0.33410637733679199</v>
      </c>
      <c r="AZ3" cm="1">
        <f t="array" ref="AZ3">_xlfn.IFS(E3="H",AW3*AI3-AV3,E3="D",AX3*AJ3-AV3,E3="A",AY3*AK3-AV3)</f>
        <v>4.7633347971967055E-3</v>
      </c>
      <c r="BA3" s="2">
        <f>AT2+AZ3</f>
        <v>5.6601957837438812E-3</v>
      </c>
    </row>
    <row r="4" spans="1:53" x14ac:dyDescent="0.2">
      <c r="A4">
        <v>2</v>
      </c>
      <c r="B4" t="s">
        <v>55</v>
      </c>
      <c r="C4" s="1">
        <v>43694</v>
      </c>
      <c r="D4" t="s">
        <v>62</v>
      </c>
      <c r="E4" t="s">
        <v>57</v>
      </c>
      <c r="F4" t="s">
        <v>63</v>
      </c>
      <c r="G4" t="s">
        <v>64</v>
      </c>
      <c r="H4">
        <v>30192</v>
      </c>
      <c r="I4" t="s">
        <v>65</v>
      </c>
      <c r="J4" t="s">
        <v>66</v>
      </c>
      <c r="K4" t="s">
        <v>54</v>
      </c>
      <c r="L4">
        <v>2019</v>
      </c>
      <c r="M4">
        <v>0.75</v>
      </c>
      <c r="N4">
        <v>1</v>
      </c>
      <c r="O4">
        <v>1.5</v>
      </c>
      <c r="P4">
        <v>1</v>
      </c>
      <c r="Q4">
        <v>2.62</v>
      </c>
      <c r="R4">
        <v>3</v>
      </c>
      <c r="S4">
        <v>3</v>
      </c>
      <c r="T4">
        <v>2.8</v>
      </c>
      <c r="U4">
        <v>2.9</v>
      </c>
      <c r="V4">
        <v>2.85</v>
      </c>
      <c r="W4">
        <v>2.7</v>
      </c>
      <c r="X4">
        <v>3</v>
      </c>
      <c r="Y4">
        <v>2.9</v>
      </c>
      <c r="Z4">
        <v>2.79</v>
      </c>
      <c r="AA4">
        <v>3</v>
      </c>
      <c r="AB4">
        <v>2.96</v>
      </c>
      <c r="AC4">
        <v>2.62</v>
      </c>
      <c r="AD4">
        <v>3</v>
      </c>
      <c r="AE4">
        <v>2.88</v>
      </c>
      <c r="AF4">
        <v>2.7</v>
      </c>
      <c r="AG4">
        <v>3</v>
      </c>
      <c r="AH4">
        <v>3</v>
      </c>
      <c r="AI4">
        <v>2.85</v>
      </c>
      <c r="AJ4">
        <v>3.16</v>
      </c>
      <c r="AK4">
        <v>3.03</v>
      </c>
      <c r="AL4">
        <v>2.7</v>
      </c>
      <c r="AM4">
        <v>2.98</v>
      </c>
      <c r="AN4">
        <v>2.9</v>
      </c>
      <c r="AO4">
        <v>1</v>
      </c>
      <c r="AP4">
        <v>0.35180388223233799</v>
      </c>
      <c r="AQ4">
        <v>0.31729147606397601</v>
      </c>
      <c r="AR4">
        <v>0.330904641703684</v>
      </c>
      <c r="AS4">
        <v>1</v>
      </c>
      <c r="AT4">
        <v>2.6410643621652598E-3</v>
      </c>
      <c r="AU4">
        <v>8.2969919247648499E-3</v>
      </c>
      <c r="AV4" s="2">
        <f>AV3+BA3</f>
        <v>1.0065570567702911</v>
      </c>
      <c r="AW4">
        <f>AV4/(1+AI4/AJ4+AI4/AK4)</f>
        <v>0.35411068026014497</v>
      </c>
      <c r="AX4">
        <f>AV4/(1+AJ4/AI4+AJ4/AK4)</f>
        <v>0.31937197428525732</v>
      </c>
      <c r="AY4">
        <f>AV4/(1+AK4/AI4+AK4/AJ4)</f>
        <v>0.33307440222488882</v>
      </c>
      <c r="AZ4" cm="1">
        <f t="array" ref="AZ4">_xlfn.IFS(E4="H",AW4*AI4-AV4,E4="D",AX4*AJ4-AV4,E4="A",AY4*AK4-AV4)</f>
        <v>2.6583819711221146E-3</v>
      </c>
      <c r="BA4" s="2">
        <f>AZ4+BA3</f>
        <v>8.3185777548659967E-3</v>
      </c>
    </row>
    <row r="5" spans="1:53" x14ac:dyDescent="0.2">
      <c r="A5">
        <v>2</v>
      </c>
      <c r="B5" t="s">
        <v>67</v>
      </c>
      <c r="C5" s="1">
        <v>43695</v>
      </c>
      <c r="D5" t="s">
        <v>68</v>
      </c>
      <c r="E5" t="s">
        <v>49</v>
      </c>
      <c r="F5" t="s">
        <v>69</v>
      </c>
      <c r="G5" t="s">
        <v>70</v>
      </c>
      <c r="H5">
        <v>28596</v>
      </c>
      <c r="I5" t="s">
        <v>71</v>
      </c>
      <c r="J5" t="s">
        <v>72</v>
      </c>
      <c r="K5" t="s">
        <v>54</v>
      </c>
      <c r="L5">
        <v>2019</v>
      </c>
      <c r="M5">
        <v>1.5</v>
      </c>
      <c r="N5">
        <v>1.5</v>
      </c>
      <c r="O5">
        <v>0.75</v>
      </c>
      <c r="P5">
        <v>1.75</v>
      </c>
      <c r="Q5">
        <v>8</v>
      </c>
      <c r="R5">
        <v>5.25</v>
      </c>
      <c r="S5">
        <v>1.36</v>
      </c>
      <c r="T5">
        <v>7.75</v>
      </c>
      <c r="U5">
        <v>5.75</v>
      </c>
      <c r="V5">
        <v>1.34</v>
      </c>
      <c r="W5">
        <v>7.5</v>
      </c>
      <c r="X5">
        <v>5.4</v>
      </c>
      <c r="Y5">
        <v>1.36</v>
      </c>
      <c r="Z5">
        <v>7.57</v>
      </c>
      <c r="AA5">
        <v>5.61</v>
      </c>
      <c r="AB5">
        <v>1.38</v>
      </c>
      <c r="AC5">
        <v>9</v>
      </c>
      <c r="AD5">
        <v>5.25</v>
      </c>
      <c r="AE5">
        <v>1.32</v>
      </c>
      <c r="AF5">
        <v>9.5</v>
      </c>
      <c r="AG5">
        <v>5.5</v>
      </c>
      <c r="AH5">
        <v>1.33</v>
      </c>
      <c r="AI5">
        <v>9.5</v>
      </c>
      <c r="AJ5">
        <v>5.75</v>
      </c>
      <c r="AK5">
        <v>1.42</v>
      </c>
      <c r="AL5">
        <v>7.83</v>
      </c>
      <c r="AM5">
        <v>5.35</v>
      </c>
      <c r="AN5">
        <v>1.36</v>
      </c>
      <c r="AO5">
        <v>1</v>
      </c>
      <c r="AP5">
        <v>0.107039853172522</v>
      </c>
      <c r="AQ5">
        <v>0.17684845306764499</v>
      </c>
      <c r="AR5">
        <v>0.71611169375983197</v>
      </c>
      <c r="AS5">
        <v>0.999999999999999</v>
      </c>
      <c r="AT5">
        <v>1.6878605138961701E-2</v>
      </c>
      <c r="AU5">
        <v>2.5175597063726601E-2</v>
      </c>
      <c r="AV5" s="2">
        <f>AV4+BA4</f>
        <v>1.0148756345251571</v>
      </c>
      <c r="AW5">
        <f t="shared" ref="AW5:AW9" si="0">AV5/(1+AI5/AJ5+AI5/AK5)</f>
        <v>0.10863213890794321</v>
      </c>
      <c r="AX5">
        <f t="shared" ref="AX5:AX9" si="1">AV5/(1+AJ5/AI5+AJ5/AK5)</f>
        <v>0.1794791860218192</v>
      </c>
      <c r="AY5">
        <f t="shared" ref="AY5:AY9" si="2">AV5/(1+AK5/AI5+AK5/AJ5)</f>
        <v>0.72676430959539451</v>
      </c>
      <c r="AZ5" cm="1">
        <f t="array" ref="AZ5">_xlfn.IFS(E5="H",AW5*AI5-AV5,E5="D",AX5*AJ5-AV5,E5="A",AY5*AK5-AV5)</f>
        <v>1.7129685100303549E-2</v>
      </c>
      <c r="BA5" s="2">
        <f>AZ5+BA4</f>
        <v>2.5448262855169546E-2</v>
      </c>
    </row>
    <row r="6" spans="1:53" x14ac:dyDescent="0.2">
      <c r="A6">
        <v>2</v>
      </c>
      <c r="B6" t="s">
        <v>55</v>
      </c>
      <c r="C6" s="1">
        <v>43701</v>
      </c>
      <c r="D6" t="s">
        <v>73</v>
      </c>
      <c r="E6" t="s">
        <v>74</v>
      </c>
      <c r="F6" t="s">
        <v>75</v>
      </c>
      <c r="G6" t="s">
        <v>76</v>
      </c>
      <c r="H6">
        <v>28005</v>
      </c>
      <c r="I6" t="s">
        <v>77</v>
      </c>
      <c r="J6" t="s">
        <v>78</v>
      </c>
      <c r="K6" t="s">
        <v>54</v>
      </c>
      <c r="L6">
        <v>2019</v>
      </c>
      <c r="M6">
        <v>2.5</v>
      </c>
      <c r="N6">
        <v>3.75</v>
      </c>
      <c r="O6">
        <v>1.5</v>
      </c>
      <c r="P6">
        <v>1.5</v>
      </c>
      <c r="Q6">
        <v>2.9</v>
      </c>
      <c r="R6">
        <v>3.4</v>
      </c>
      <c r="S6">
        <v>2.4</v>
      </c>
      <c r="T6">
        <v>2.85</v>
      </c>
      <c r="U6">
        <v>3.4</v>
      </c>
      <c r="V6">
        <v>2.35</v>
      </c>
      <c r="W6">
        <v>2.85</v>
      </c>
      <c r="X6">
        <v>3.45</v>
      </c>
      <c r="Y6">
        <v>2.4500000000000002</v>
      </c>
      <c r="Z6">
        <v>2.85</v>
      </c>
      <c r="AA6">
        <v>3.48</v>
      </c>
      <c r="AB6">
        <v>2.56</v>
      </c>
      <c r="AC6">
        <v>2.8</v>
      </c>
      <c r="AD6">
        <v>3.4</v>
      </c>
      <c r="AE6">
        <v>2.5</v>
      </c>
      <c r="AF6">
        <v>2.8</v>
      </c>
      <c r="AG6">
        <v>3.4</v>
      </c>
      <c r="AH6">
        <v>2.5499999999999998</v>
      </c>
      <c r="AI6">
        <v>3.25</v>
      </c>
      <c r="AJ6">
        <v>3.55</v>
      </c>
      <c r="AK6">
        <v>2.59</v>
      </c>
      <c r="AL6">
        <v>2.86</v>
      </c>
      <c r="AM6">
        <v>3.42</v>
      </c>
      <c r="AN6">
        <v>2.46</v>
      </c>
      <c r="AO6">
        <v>1</v>
      </c>
      <c r="AP6">
        <v>0.31542565052573801</v>
      </c>
      <c r="AQ6">
        <v>0.28876996174891501</v>
      </c>
      <c r="AR6">
        <v>0.39580438772534599</v>
      </c>
      <c r="AS6">
        <v>1</v>
      </c>
      <c r="AT6">
        <v>2.5133364208648399E-2</v>
      </c>
      <c r="AU6">
        <v>5.0308961272374997E-2</v>
      </c>
      <c r="AV6" s="2">
        <f>AV5+BA5</f>
        <v>1.0403238973803266</v>
      </c>
      <c r="AW6">
        <f t="shared" si="0"/>
        <v>0.32814484208866063</v>
      </c>
      <c r="AX6">
        <f t="shared" si="1"/>
        <v>0.30041429205299919</v>
      </c>
      <c r="AY6">
        <f t="shared" si="2"/>
        <v>0.41176476323866684</v>
      </c>
      <c r="AZ6" cm="1">
        <f t="array" ref="AZ6">_xlfn.IFS(E6="H",AW6*AI6-AV6,E6="D",AX6*AJ6-AV6,E6="A",AY6*AK6-AV6)</f>
        <v>2.6146839407820366E-2</v>
      </c>
      <c r="BA6">
        <f t="shared" ref="BA6:BA9" si="3">AZ6+BA5</f>
        <v>5.1595102262989911E-2</v>
      </c>
    </row>
    <row r="7" spans="1:53" x14ac:dyDescent="0.2">
      <c r="A7">
        <v>3</v>
      </c>
      <c r="B7" t="s">
        <v>55</v>
      </c>
      <c r="C7" s="1">
        <v>43701</v>
      </c>
      <c r="D7" t="s">
        <v>62</v>
      </c>
      <c r="E7" t="s">
        <v>49</v>
      </c>
      <c r="F7" t="s">
        <v>51</v>
      </c>
      <c r="G7" t="s">
        <v>79</v>
      </c>
      <c r="H7">
        <v>9001</v>
      </c>
      <c r="I7" t="s">
        <v>80</v>
      </c>
      <c r="J7" t="s">
        <v>81</v>
      </c>
      <c r="K7" t="s">
        <v>54</v>
      </c>
      <c r="L7">
        <v>2019</v>
      </c>
      <c r="M7">
        <v>1.25</v>
      </c>
      <c r="N7">
        <v>1.5</v>
      </c>
      <c r="O7">
        <v>1</v>
      </c>
      <c r="P7">
        <v>1</v>
      </c>
      <c r="Q7">
        <v>2.1</v>
      </c>
      <c r="R7">
        <v>3.25</v>
      </c>
      <c r="S7">
        <v>3.75</v>
      </c>
      <c r="T7">
        <v>2</v>
      </c>
      <c r="U7">
        <v>3.2</v>
      </c>
      <c r="V7">
        <v>3.9</v>
      </c>
      <c r="W7">
        <v>2.1</v>
      </c>
      <c r="X7">
        <v>3.2</v>
      </c>
      <c r="Y7">
        <v>3.8</v>
      </c>
      <c r="Z7">
        <v>2.1800000000000002</v>
      </c>
      <c r="AA7">
        <v>3.2</v>
      </c>
      <c r="AB7">
        <v>3.88</v>
      </c>
      <c r="AC7">
        <v>2.1</v>
      </c>
      <c r="AD7">
        <v>3.2</v>
      </c>
      <c r="AE7">
        <v>3.7</v>
      </c>
      <c r="AF7">
        <v>2.15</v>
      </c>
      <c r="AG7">
        <v>3.2</v>
      </c>
      <c r="AH7">
        <v>3.8</v>
      </c>
      <c r="AI7">
        <v>2.2000000000000002</v>
      </c>
      <c r="AJ7">
        <v>3.29</v>
      </c>
      <c r="AK7">
        <v>4.3</v>
      </c>
      <c r="AL7">
        <v>2.12</v>
      </c>
      <c r="AM7">
        <v>3.18</v>
      </c>
      <c r="AN7">
        <v>3.78</v>
      </c>
      <c r="AO7">
        <v>1</v>
      </c>
      <c r="AP7">
        <v>0.458648079105203</v>
      </c>
      <c r="AQ7">
        <v>0.30669476414329699</v>
      </c>
      <c r="AR7">
        <v>0.23465715675149901</v>
      </c>
      <c r="AS7">
        <v>1</v>
      </c>
      <c r="AT7">
        <v>9.0257740314474404E-3</v>
      </c>
      <c r="AU7">
        <v>5.9334735303822397E-2</v>
      </c>
      <c r="AV7">
        <f>AV6+BA6</f>
        <v>1.0919189996433165</v>
      </c>
      <c r="AW7">
        <f>AV7/(1+AI7/AJ7+AI7/AK7)</f>
        <v>0.50080655172488242</v>
      </c>
      <c r="AX7">
        <f t="shared" si="1"/>
        <v>0.33488584005919192</v>
      </c>
      <c r="AY7">
        <f t="shared" si="2"/>
        <v>0.25622660785924223</v>
      </c>
      <c r="AZ7" cm="1">
        <f t="array" ref="AZ7">_xlfn.IFS(E7="H",AW7*AI7-AV7,E7="D",AX7*AJ7-AV7,E7="A",AY7*AK7-AV7)</f>
        <v>9.8554141514248794E-3</v>
      </c>
      <c r="BA7">
        <f t="shared" si="3"/>
        <v>6.1450516414414791E-2</v>
      </c>
    </row>
    <row r="8" spans="1:53" x14ac:dyDescent="0.2">
      <c r="A8">
        <v>3</v>
      </c>
      <c r="B8" t="s">
        <v>67</v>
      </c>
      <c r="C8" s="1">
        <v>43702</v>
      </c>
      <c r="D8" t="s">
        <v>82</v>
      </c>
      <c r="E8" t="s">
        <v>74</v>
      </c>
      <c r="F8" t="s">
        <v>83</v>
      </c>
      <c r="G8" t="s">
        <v>69</v>
      </c>
      <c r="H8">
        <v>24951</v>
      </c>
      <c r="I8" t="s">
        <v>84</v>
      </c>
      <c r="J8" t="s">
        <v>85</v>
      </c>
      <c r="K8" t="s">
        <v>54</v>
      </c>
      <c r="L8">
        <v>2019</v>
      </c>
      <c r="M8">
        <v>0.5</v>
      </c>
      <c r="N8">
        <v>0.75</v>
      </c>
      <c r="O8">
        <v>1.75</v>
      </c>
      <c r="P8">
        <v>1.75</v>
      </c>
      <c r="Q8">
        <v>2.75</v>
      </c>
      <c r="R8">
        <v>3.1</v>
      </c>
      <c r="S8">
        <v>2.7</v>
      </c>
      <c r="T8">
        <v>2.65</v>
      </c>
      <c r="U8">
        <v>3.1</v>
      </c>
      <c r="V8">
        <v>2.7</v>
      </c>
      <c r="W8">
        <v>2.65</v>
      </c>
      <c r="X8">
        <v>3.1</v>
      </c>
      <c r="Y8">
        <v>2.8</v>
      </c>
      <c r="Z8">
        <v>2.73</v>
      </c>
      <c r="AA8">
        <v>3.16</v>
      </c>
      <c r="AB8">
        <v>2.89</v>
      </c>
      <c r="AC8">
        <v>2.62</v>
      </c>
      <c r="AD8">
        <v>3.2</v>
      </c>
      <c r="AE8">
        <v>2.75</v>
      </c>
      <c r="AF8">
        <v>2.7</v>
      </c>
      <c r="AG8">
        <v>3.13</v>
      </c>
      <c r="AH8">
        <v>2.88</v>
      </c>
      <c r="AI8">
        <v>2.85</v>
      </c>
      <c r="AJ8">
        <v>3.28</v>
      </c>
      <c r="AK8">
        <v>2.92</v>
      </c>
      <c r="AL8">
        <v>2.67</v>
      </c>
      <c r="AM8">
        <v>3.1</v>
      </c>
      <c r="AN8">
        <v>2.81</v>
      </c>
      <c r="AO8">
        <v>1</v>
      </c>
      <c r="AP8">
        <v>0.35150251765293</v>
      </c>
      <c r="AQ8">
        <v>0.305421394911845</v>
      </c>
      <c r="AR8">
        <v>0.343076087435223</v>
      </c>
      <c r="AS8">
        <v>1</v>
      </c>
      <c r="AT8">
        <v>1.78217531085334E-3</v>
      </c>
      <c r="AU8">
        <v>6.11169106146758E-2</v>
      </c>
      <c r="AV8">
        <f t="shared" ref="AV8:AV9" si="4">AV7+BA7</f>
        <v>1.1533695160577313</v>
      </c>
      <c r="AW8">
        <f t="shared" si="0"/>
        <v>0.40541228867843504</v>
      </c>
      <c r="AX8">
        <f t="shared" si="1"/>
        <v>0.3522637264431524</v>
      </c>
      <c r="AY8">
        <f t="shared" si="2"/>
        <v>0.39569350093614386</v>
      </c>
      <c r="AZ8" cm="1">
        <f t="array" ref="AZ8">_xlfn.IFS(E8="H",AW8*AI8-AV8,E8="D",AX8*AJ8-AV8,E8="A",AY8*AK8-AV8)</f>
        <v>2.0555066758087825E-3</v>
      </c>
      <c r="BA8">
        <f t="shared" si="3"/>
        <v>6.3506023090223573E-2</v>
      </c>
    </row>
    <row r="9" spans="1:53" x14ac:dyDescent="0.2">
      <c r="A9">
        <v>3</v>
      </c>
      <c r="B9" t="s">
        <v>55</v>
      </c>
      <c r="C9" s="1">
        <v>43708</v>
      </c>
      <c r="D9" t="s">
        <v>82</v>
      </c>
      <c r="E9" t="s">
        <v>57</v>
      </c>
      <c r="F9" t="s">
        <v>86</v>
      </c>
      <c r="G9" t="s">
        <v>87</v>
      </c>
      <c r="H9">
        <v>16742</v>
      </c>
      <c r="I9" t="s">
        <v>88</v>
      </c>
      <c r="J9" t="s">
        <v>89</v>
      </c>
      <c r="K9" t="s">
        <v>54</v>
      </c>
      <c r="L9">
        <v>2019</v>
      </c>
      <c r="M9">
        <v>1</v>
      </c>
      <c r="N9">
        <v>0</v>
      </c>
      <c r="O9">
        <v>1</v>
      </c>
      <c r="P9">
        <v>1</v>
      </c>
      <c r="Q9">
        <v>10</v>
      </c>
      <c r="R9">
        <v>5</v>
      </c>
      <c r="S9">
        <v>1.33</v>
      </c>
      <c r="T9">
        <v>10</v>
      </c>
      <c r="U9">
        <v>4.75</v>
      </c>
      <c r="V9">
        <v>1.35</v>
      </c>
      <c r="W9">
        <v>9.6</v>
      </c>
      <c r="X9">
        <v>5.5</v>
      </c>
      <c r="Y9">
        <v>1.3</v>
      </c>
      <c r="Z9">
        <v>9.99</v>
      </c>
      <c r="AA9">
        <v>4.92</v>
      </c>
      <c r="AB9">
        <v>1.37</v>
      </c>
      <c r="AC9">
        <v>9.5</v>
      </c>
      <c r="AD9">
        <v>4.75</v>
      </c>
      <c r="AE9">
        <v>1.36</v>
      </c>
      <c r="AF9">
        <v>10</v>
      </c>
      <c r="AG9">
        <v>4.8</v>
      </c>
      <c r="AH9">
        <v>1.4</v>
      </c>
      <c r="AI9">
        <v>10.5</v>
      </c>
      <c r="AJ9">
        <v>5.5</v>
      </c>
      <c r="AK9">
        <v>1.4</v>
      </c>
      <c r="AL9">
        <v>9.52</v>
      </c>
      <c r="AM9">
        <v>4.8600000000000003</v>
      </c>
      <c r="AN9">
        <v>1.36</v>
      </c>
      <c r="AO9">
        <v>1</v>
      </c>
      <c r="AP9">
        <v>9.6069868995633106E-2</v>
      </c>
      <c r="AQ9">
        <v>0.183406113537117</v>
      </c>
      <c r="AR9">
        <v>0.72052401746724903</v>
      </c>
      <c r="AS9">
        <v>1</v>
      </c>
      <c r="AT9">
        <v>8.7336244541482699E-3</v>
      </c>
      <c r="AU9">
        <v>6.9850535068824104E-2</v>
      </c>
      <c r="AV9">
        <f t="shared" si="4"/>
        <v>1.2168755391479549</v>
      </c>
      <c r="AW9">
        <f t="shared" si="0"/>
        <v>0.11690507362993452</v>
      </c>
      <c r="AX9">
        <f t="shared" si="1"/>
        <v>0.22318241329351138</v>
      </c>
      <c r="AY9">
        <f t="shared" si="2"/>
        <v>0.87678805222450906</v>
      </c>
      <c r="AZ9" cm="1">
        <f t="array" ref="AZ9">_xlfn.IFS(E9="H",AW9*AI9-AV9,E9="D",AX9*AJ9-AV9,E9="A",AY9*AK9-AV9)</f>
        <v>1.0627733966357633E-2</v>
      </c>
      <c r="BA9">
        <f t="shared" si="3"/>
        <v>7.4133757056581207E-2</v>
      </c>
    </row>
    <row r="10" spans="1:53" x14ac:dyDescent="0.2">
      <c r="A10">
        <v>4</v>
      </c>
      <c r="B10" t="s">
        <v>55</v>
      </c>
      <c r="C10" s="1">
        <v>43708</v>
      </c>
      <c r="D10" t="s">
        <v>90</v>
      </c>
      <c r="E10" t="s">
        <v>57</v>
      </c>
      <c r="F10" t="s">
        <v>91</v>
      </c>
      <c r="G10" t="s">
        <v>92</v>
      </c>
      <c r="H10">
        <v>40560</v>
      </c>
      <c r="I10" t="s">
        <v>93</v>
      </c>
      <c r="J10" t="s">
        <v>94</v>
      </c>
      <c r="K10" t="s">
        <v>54</v>
      </c>
      <c r="L10">
        <v>2019</v>
      </c>
      <c r="M10">
        <v>2</v>
      </c>
      <c r="N10">
        <v>2</v>
      </c>
      <c r="O10">
        <v>1</v>
      </c>
      <c r="P10">
        <v>1</v>
      </c>
      <c r="Q10">
        <v>1.36</v>
      </c>
      <c r="R10">
        <v>4.75</v>
      </c>
      <c r="S10">
        <v>9</v>
      </c>
      <c r="T10">
        <v>1.34</v>
      </c>
      <c r="U10">
        <v>5</v>
      </c>
      <c r="V10">
        <v>9.5</v>
      </c>
      <c r="W10">
        <v>1.35</v>
      </c>
      <c r="X10">
        <v>5.3</v>
      </c>
      <c r="Y10">
        <v>8</v>
      </c>
      <c r="Z10">
        <v>1.36</v>
      </c>
      <c r="AA10">
        <v>5.12</v>
      </c>
      <c r="AB10">
        <v>10.23</v>
      </c>
      <c r="AC10">
        <v>1.35</v>
      </c>
      <c r="AD10">
        <v>4.8</v>
      </c>
      <c r="AE10">
        <v>9</v>
      </c>
      <c r="AF10">
        <v>1.4</v>
      </c>
      <c r="AG10">
        <v>5</v>
      </c>
      <c r="AH10">
        <v>10</v>
      </c>
      <c r="AI10">
        <v>1.4</v>
      </c>
      <c r="AJ10">
        <v>5.3</v>
      </c>
      <c r="AK10">
        <v>10.75</v>
      </c>
      <c r="AL10">
        <v>1.36</v>
      </c>
      <c r="AM10">
        <v>4.9800000000000004</v>
      </c>
      <c r="AN10">
        <v>9.5299999999999994</v>
      </c>
      <c r="AO10">
        <v>1</v>
      </c>
      <c r="AP10">
        <v>0.71716281704323703</v>
      </c>
      <c r="AQ10">
        <v>0.18943923469066601</v>
      </c>
      <c r="AR10">
        <v>9.3397948266096001E-2</v>
      </c>
      <c r="AS10">
        <v>1</v>
      </c>
      <c r="AT10">
        <v>4.0279438605323997E-3</v>
      </c>
      <c r="AU10">
        <v>7.3878478929356506E-2</v>
      </c>
      <c r="AV10">
        <f t="shared" ref="AV10:AV73" si="5">AV9+BA9</f>
        <v>1.2910092962045361</v>
      </c>
      <c r="AW10">
        <f t="shared" ref="AW10:AW73" si="6">AV10/(1+AI10/AJ10+AI10/AK10)</f>
        <v>0.92586386369505247</v>
      </c>
      <c r="AX10">
        <f t="shared" ref="AX10:AX73" si="7">AV10/(1+AJ10/AI10+AJ10/AK10)</f>
        <v>0.24456781305152328</v>
      </c>
      <c r="AY10">
        <f t="shared" ref="AY10:AY73" si="8">AV10/(1+AK10/AI10+AK10/AJ10)</f>
        <v>0.12057761945796031</v>
      </c>
      <c r="AZ10" cm="1">
        <f t="array" ref="AZ10">_xlfn.IFS(E10="H",AW10*AI10-AV10,E10="D",AX10*AJ10-AV10,E10="A",AY10*AK10-AV10)</f>
        <v>5.2001129685372849E-3</v>
      </c>
      <c r="BA10">
        <f t="shared" ref="BA10:BA73" si="9">AZ10+BA9</f>
        <v>7.9333870025118491E-2</v>
      </c>
    </row>
    <row r="11" spans="1:53" x14ac:dyDescent="0.2">
      <c r="A11">
        <v>4</v>
      </c>
      <c r="B11" t="s">
        <v>55</v>
      </c>
      <c r="C11" s="1">
        <v>43708</v>
      </c>
      <c r="D11" t="s">
        <v>62</v>
      </c>
      <c r="E11" t="s">
        <v>49</v>
      </c>
      <c r="F11" t="s">
        <v>95</v>
      </c>
      <c r="G11" t="s">
        <v>96</v>
      </c>
      <c r="H11">
        <v>12488</v>
      </c>
      <c r="I11" t="s">
        <v>97</v>
      </c>
      <c r="J11" t="s">
        <v>98</v>
      </c>
      <c r="K11" t="s">
        <v>54</v>
      </c>
      <c r="L11">
        <v>2019</v>
      </c>
      <c r="M11">
        <v>1.5</v>
      </c>
      <c r="N11">
        <v>1.5</v>
      </c>
      <c r="O11">
        <v>1</v>
      </c>
      <c r="P11">
        <v>1</v>
      </c>
      <c r="Q11">
        <v>2</v>
      </c>
      <c r="R11">
        <v>3.25</v>
      </c>
      <c r="S11">
        <v>4.2</v>
      </c>
      <c r="T11">
        <v>2.0499999999999998</v>
      </c>
      <c r="U11">
        <v>3.3</v>
      </c>
      <c r="V11">
        <v>3.8</v>
      </c>
      <c r="W11">
        <v>2.0499999999999998</v>
      </c>
      <c r="X11">
        <v>3.3</v>
      </c>
      <c r="Y11">
        <v>3.7</v>
      </c>
      <c r="Z11">
        <v>2.11</v>
      </c>
      <c r="AA11">
        <v>3.41</v>
      </c>
      <c r="AB11">
        <v>3.82</v>
      </c>
      <c r="AC11">
        <v>2.0499999999999998</v>
      </c>
      <c r="AD11">
        <v>3.3</v>
      </c>
      <c r="AE11">
        <v>3.7</v>
      </c>
      <c r="AF11">
        <v>2.1</v>
      </c>
      <c r="AG11">
        <v>3.4</v>
      </c>
      <c r="AH11">
        <v>3.7</v>
      </c>
      <c r="AI11">
        <v>2.16</v>
      </c>
      <c r="AJ11">
        <v>3.46</v>
      </c>
      <c r="AK11">
        <v>4.2</v>
      </c>
      <c r="AL11">
        <v>2.08</v>
      </c>
      <c r="AM11">
        <v>3.32</v>
      </c>
      <c r="AN11">
        <v>3.71</v>
      </c>
      <c r="AO11">
        <v>1</v>
      </c>
      <c r="AP11">
        <v>0.46760367595953301</v>
      </c>
      <c r="AQ11">
        <v>0.29191443354699198</v>
      </c>
      <c r="AR11">
        <v>0.24048189049347399</v>
      </c>
      <c r="AS11">
        <v>1</v>
      </c>
      <c r="AT11">
        <v>1.00239400725925E-2</v>
      </c>
      <c r="AU11">
        <v>8.3902419001949002E-2</v>
      </c>
      <c r="AV11">
        <f t="shared" si="5"/>
        <v>1.3703431662296546</v>
      </c>
      <c r="AW11">
        <f t="shared" si="6"/>
        <v>0.6407775018550127</v>
      </c>
      <c r="AX11">
        <f t="shared" si="7"/>
        <v>0.4000229491349212</v>
      </c>
      <c r="AY11">
        <f t="shared" si="8"/>
        <v>0.32954271523972078</v>
      </c>
      <c r="AZ11" cm="1">
        <f t="array" ref="AZ11">_xlfn.IFS(E11="H",AW11*AI11-AV11,E11="D",AX11*AJ11-AV11,E11="A",AY11*AK11-AV11)</f>
        <v>1.3736237777173033E-2</v>
      </c>
      <c r="BA11">
        <f t="shared" si="9"/>
        <v>9.3070107802291524E-2</v>
      </c>
    </row>
    <row r="12" spans="1:53" x14ac:dyDescent="0.2">
      <c r="A12">
        <v>5</v>
      </c>
      <c r="B12" t="s">
        <v>55</v>
      </c>
      <c r="C12" s="1">
        <v>43722</v>
      </c>
      <c r="D12" t="s">
        <v>99</v>
      </c>
      <c r="E12" t="s">
        <v>49</v>
      </c>
      <c r="F12" t="s">
        <v>100</v>
      </c>
      <c r="G12" t="s">
        <v>101</v>
      </c>
      <c r="H12">
        <v>27035</v>
      </c>
      <c r="I12" t="s">
        <v>102</v>
      </c>
      <c r="J12" t="s">
        <v>103</v>
      </c>
      <c r="K12" t="s">
        <v>54</v>
      </c>
      <c r="L12">
        <v>2019</v>
      </c>
      <c r="M12">
        <v>1.5</v>
      </c>
      <c r="N12">
        <v>2.5</v>
      </c>
      <c r="O12">
        <v>3</v>
      </c>
      <c r="P12">
        <v>3.25</v>
      </c>
      <c r="Q12">
        <v>15</v>
      </c>
      <c r="R12">
        <v>9</v>
      </c>
      <c r="S12">
        <v>1.1399999999999999</v>
      </c>
      <c r="T12">
        <v>14.5</v>
      </c>
      <c r="U12">
        <v>8.5</v>
      </c>
      <c r="V12">
        <v>1.1599999999999999</v>
      </c>
      <c r="W12">
        <v>15</v>
      </c>
      <c r="X12">
        <v>8.5</v>
      </c>
      <c r="Y12">
        <v>1.1499999999999999</v>
      </c>
      <c r="Z12">
        <v>18.79</v>
      </c>
      <c r="AA12">
        <v>9.48</v>
      </c>
      <c r="AB12">
        <v>1.1399999999999999</v>
      </c>
      <c r="AC12">
        <v>17</v>
      </c>
      <c r="AD12">
        <v>8.5</v>
      </c>
      <c r="AE12">
        <v>1.1399999999999999</v>
      </c>
      <c r="AF12">
        <v>17</v>
      </c>
      <c r="AG12">
        <v>9</v>
      </c>
      <c r="AH12">
        <v>1.1499999999999999</v>
      </c>
      <c r="AI12">
        <v>21</v>
      </c>
      <c r="AJ12">
        <v>9.85</v>
      </c>
      <c r="AK12">
        <v>1.18</v>
      </c>
      <c r="AL12">
        <v>17.04</v>
      </c>
      <c r="AM12">
        <v>9.0299999999999994</v>
      </c>
      <c r="AN12">
        <v>1.1499999999999999</v>
      </c>
      <c r="AO12">
        <v>1</v>
      </c>
      <c r="AP12">
        <v>4.7781527874270799E-2</v>
      </c>
      <c r="AQ12">
        <v>0.101869247244638</v>
      </c>
      <c r="AR12">
        <v>0.85034922488108999</v>
      </c>
      <c r="AS12">
        <v>1</v>
      </c>
      <c r="AT12">
        <v>3.41208535968728E-3</v>
      </c>
      <c r="AU12">
        <v>8.7314504361636305E-2</v>
      </c>
      <c r="AV12">
        <f t="shared" si="5"/>
        <v>1.4634132740319461</v>
      </c>
      <c r="AW12">
        <f t="shared" si="6"/>
        <v>6.9924122144735354E-2</v>
      </c>
      <c r="AX12">
        <f t="shared" si="7"/>
        <v>0.14907680863344597</v>
      </c>
      <c r="AY12">
        <f t="shared" si="8"/>
        <v>1.2444123432537648</v>
      </c>
      <c r="AZ12" cm="1">
        <f t="array" ref="AZ12">_xlfn.IFS(E12="H",AW12*AI12-AV12,E12="D",AX12*AJ12-AV12,E12="A",AY12*AK12-AV12)</f>
        <v>4.9932910074963477E-3</v>
      </c>
      <c r="BA12">
        <f t="shared" si="9"/>
        <v>9.8063398809787872E-2</v>
      </c>
    </row>
    <row r="13" spans="1:53" x14ac:dyDescent="0.2">
      <c r="A13">
        <v>5</v>
      </c>
      <c r="B13" t="s">
        <v>55</v>
      </c>
      <c r="C13" s="1">
        <v>43722</v>
      </c>
      <c r="D13" t="s">
        <v>62</v>
      </c>
      <c r="E13" t="s">
        <v>49</v>
      </c>
      <c r="F13" t="s">
        <v>64</v>
      </c>
      <c r="G13" t="s">
        <v>104</v>
      </c>
      <c r="H13">
        <v>12765</v>
      </c>
      <c r="I13" t="s">
        <v>105</v>
      </c>
      <c r="J13" t="s">
        <v>106</v>
      </c>
      <c r="K13" t="s">
        <v>54</v>
      </c>
      <c r="L13">
        <v>2019</v>
      </c>
      <c r="M13">
        <v>1.25</v>
      </c>
      <c r="N13">
        <v>0.75</v>
      </c>
      <c r="O13">
        <v>1.75</v>
      </c>
      <c r="P13">
        <v>1.25</v>
      </c>
      <c r="Q13">
        <v>2</v>
      </c>
      <c r="R13">
        <v>3.5</v>
      </c>
      <c r="S13">
        <v>3.75</v>
      </c>
      <c r="T13">
        <v>1.95</v>
      </c>
      <c r="U13">
        <v>3.1</v>
      </c>
      <c r="V13">
        <v>4.5999999999999996</v>
      </c>
      <c r="W13">
        <v>2.15</v>
      </c>
      <c r="X13">
        <v>3.2</v>
      </c>
      <c r="Y13">
        <v>3.6</v>
      </c>
      <c r="Z13">
        <v>1.93</v>
      </c>
      <c r="AA13">
        <v>3.35</v>
      </c>
      <c r="AB13">
        <v>4.7300000000000004</v>
      </c>
      <c r="AC13">
        <v>1.88</v>
      </c>
      <c r="AD13">
        <v>3.3</v>
      </c>
      <c r="AE13">
        <v>4.5</v>
      </c>
      <c r="AF13">
        <v>1.93</v>
      </c>
      <c r="AG13">
        <v>3.2</v>
      </c>
      <c r="AH13">
        <v>4.4000000000000004</v>
      </c>
      <c r="AI13">
        <v>2.15</v>
      </c>
      <c r="AJ13">
        <v>3.5</v>
      </c>
      <c r="AK13">
        <v>4.75</v>
      </c>
      <c r="AL13">
        <v>1.94</v>
      </c>
      <c r="AM13">
        <v>3.28</v>
      </c>
      <c r="AN13">
        <v>4.37</v>
      </c>
      <c r="AO13">
        <v>1</v>
      </c>
      <c r="AP13">
        <v>0.48381229538013798</v>
      </c>
      <c r="AQ13">
        <v>0.29719898144779899</v>
      </c>
      <c r="AR13">
        <v>0.218988723172062</v>
      </c>
      <c r="AS13">
        <v>0.999999999999999</v>
      </c>
      <c r="AT13">
        <v>4.0196435067297198E-2</v>
      </c>
      <c r="AU13">
        <v>0.12751093942893299</v>
      </c>
      <c r="AV13">
        <f t="shared" si="5"/>
        <v>1.561476672841734</v>
      </c>
      <c r="AW13">
        <f t="shared" si="6"/>
        <v>0.75546161327010042</v>
      </c>
      <c r="AX13">
        <f t="shared" si="7"/>
        <v>0.4640692767230617</v>
      </c>
      <c r="AY13">
        <f t="shared" si="8"/>
        <v>0.3419457828485718</v>
      </c>
      <c r="AZ13" cm="1">
        <f t="array" ref="AZ13">_xlfn.IFS(E13="H",AW13*AI13-AV13,E13="D",AX13*AJ13-AV13,E13="A",AY13*AK13-AV13)</f>
        <v>6.2765795688981774E-2</v>
      </c>
      <c r="BA13">
        <f t="shared" si="9"/>
        <v>0.16082919449876965</v>
      </c>
    </row>
    <row r="14" spans="1:53" x14ac:dyDescent="0.2">
      <c r="A14">
        <v>3</v>
      </c>
      <c r="B14" t="s">
        <v>67</v>
      </c>
      <c r="C14" s="1">
        <v>43723</v>
      </c>
      <c r="D14" t="s">
        <v>107</v>
      </c>
      <c r="E14" t="s">
        <v>49</v>
      </c>
      <c r="F14" t="s">
        <v>108</v>
      </c>
      <c r="G14" t="s">
        <v>109</v>
      </c>
      <c r="H14">
        <v>34407</v>
      </c>
      <c r="I14" t="s">
        <v>110</v>
      </c>
      <c r="J14" t="s">
        <v>111</v>
      </c>
      <c r="K14" t="s">
        <v>54</v>
      </c>
      <c r="L14">
        <v>2019</v>
      </c>
      <c r="M14">
        <v>2.5</v>
      </c>
      <c r="N14">
        <v>2.5</v>
      </c>
      <c r="O14">
        <v>0.75</v>
      </c>
      <c r="P14">
        <v>1.25</v>
      </c>
      <c r="Q14">
        <v>1.65</v>
      </c>
      <c r="R14">
        <v>4.2</v>
      </c>
      <c r="S14">
        <v>4.75</v>
      </c>
      <c r="T14">
        <v>1.67</v>
      </c>
      <c r="U14">
        <v>4.0999999999999996</v>
      </c>
      <c r="V14">
        <v>4.75</v>
      </c>
      <c r="W14">
        <v>1.7</v>
      </c>
      <c r="X14">
        <v>4.1500000000000004</v>
      </c>
      <c r="Y14">
        <v>4.5</v>
      </c>
      <c r="Z14">
        <v>1.69</v>
      </c>
      <c r="AA14">
        <v>4.28</v>
      </c>
      <c r="AB14">
        <v>4.8600000000000003</v>
      </c>
      <c r="AC14">
        <v>1.65</v>
      </c>
      <c r="AD14">
        <v>4</v>
      </c>
      <c r="AE14">
        <v>4.8</v>
      </c>
      <c r="AF14">
        <v>1.67</v>
      </c>
      <c r="AG14">
        <v>4.0999999999999996</v>
      </c>
      <c r="AH14">
        <v>5.2</v>
      </c>
      <c r="AI14">
        <v>1.75</v>
      </c>
      <c r="AJ14">
        <v>4.3</v>
      </c>
      <c r="AK14">
        <v>5.2</v>
      </c>
      <c r="AL14">
        <v>1.69</v>
      </c>
      <c r="AM14">
        <v>4.13</v>
      </c>
      <c r="AN14">
        <v>4.7300000000000004</v>
      </c>
      <c r="AO14">
        <v>1</v>
      </c>
      <c r="AP14">
        <v>0.57355393099910201</v>
      </c>
      <c r="AQ14">
        <v>0.233423111453123</v>
      </c>
      <c r="AR14">
        <v>0.19302295754777399</v>
      </c>
      <c r="AS14">
        <v>1</v>
      </c>
      <c r="AT14">
        <v>3.7193792484289099E-3</v>
      </c>
      <c r="AU14">
        <v>0.13123031867736201</v>
      </c>
      <c r="AV14">
        <f t="shared" si="5"/>
        <v>1.7223058673405036</v>
      </c>
      <c r="AW14">
        <f t="shared" si="6"/>
        <v>0.98783530059596414</v>
      </c>
      <c r="AX14">
        <f t="shared" si="7"/>
        <v>0.40202599442859005</v>
      </c>
      <c r="AY14">
        <f t="shared" si="8"/>
        <v>0.33244457231594943</v>
      </c>
      <c r="AZ14" cm="1">
        <f t="array" ref="AZ14">_xlfn.IFS(E14="H",AW14*AI14-AV14,E14="D",AX14*AJ14-AV14,E14="A",AY14*AK14-AV14)</f>
        <v>6.405908702433516E-3</v>
      </c>
      <c r="BA14">
        <f t="shared" si="9"/>
        <v>0.16723510320120316</v>
      </c>
    </row>
    <row r="15" spans="1:53" x14ac:dyDescent="0.2">
      <c r="A15">
        <v>4</v>
      </c>
      <c r="B15" t="s">
        <v>67</v>
      </c>
      <c r="C15" s="1">
        <v>43723</v>
      </c>
      <c r="D15" t="s">
        <v>112</v>
      </c>
      <c r="E15" t="s">
        <v>74</v>
      </c>
      <c r="F15" t="s">
        <v>113</v>
      </c>
      <c r="G15" t="s">
        <v>114</v>
      </c>
      <c r="H15">
        <v>5410</v>
      </c>
      <c r="I15" t="s">
        <v>115</v>
      </c>
      <c r="J15" t="s">
        <v>116</v>
      </c>
      <c r="K15" t="s">
        <v>54</v>
      </c>
      <c r="L15">
        <v>2019</v>
      </c>
      <c r="M15">
        <v>1.75</v>
      </c>
      <c r="N15">
        <v>1.25</v>
      </c>
      <c r="O15">
        <v>1.5</v>
      </c>
      <c r="P15">
        <v>1.25</v>
      </c>
      <c r="Q15">
        <v>2</v>
      </c>
      <c r="R15">
        <v>3.3</v>
      </c>
      <c r="S15">
        <v>4</v>
      </c>
      <c r="T15">
        <v>1.95</v>
      </c>
      <c r="U15">
        <v>3.3</v>
      </c>
      <c r="V15">
        <v>4.25</v>
      </c>
      <c r="W15">
        <v>1.95</v>
      </c>
      <c r="X15">
        <v>3.35</v>
      </c>
      <c r="Y15">
        <v>4.1500000000000004</v>
      </c>
      <c r="Z15">
        <v>1.97</v>
      </c>
      <c r="AA15">
        <v>3.39</v>
      </c>
      <c r="AB15">
        <v>4.42</v>
      </c>
      <c r="AC15">
        <v>1.95</v>
      </c>
      <c r="AD15">
        <v>3.3</v>
      </c>
      <c r="AE15">
        <v>4.33</v>
      </c>
      <c r="AF15">
        <v>2</v>
      </c>
      <c r="AG15">
        <v>3.3</v>
      </c>
      <c r="AH15">
        <v>4.0999999999999996</v>
      </c>
      <c r="AI15">
        <v>2.1</v>
      </c>
      <c r="AJ15">
        <v>3.46</v>
      </c>
      <c r="AK15">
        <v>4.45</v>
      </c>
      <c r="AL15">
        <v>1.97</v>
      </c>
      <c r="AM15">
        <v>3.34</v>
      </c>
      <c r="AN15">
        <v>4.21</v>
      </c>
      <c r="AO15">
        <v>1</v>
      </c>
      <c r="AP15">
        <v>0.48103599100224897</v>
      </c>
      <c r="AQ15">
        <v>0.29195826043489098</v>
      </c>
      <c r="AR15">
        <v>0.22700574856285899</v>
      </c>
      <c r="AS15">
        <v>1</v>
      </c>
      <c r="AT15">
        <v>1.0175581104723899E-2</v>
      </c>
      <c r="AU15">
        <v>0.14140589978208601</v>
      </c>
      <c r="AV15">
        <f t="shared" si="5"/>
        <v>1.8895409705417068</v>
      </c>
      <c r="AW15">
        <f t="shared" si="6"/>
        <v>0.90893721330388222</v>
      </c>
      <c r="AX15">
        <f t="shared" si="7"/>
        <v>0.55166709477981291</v>
      </c>
      <c r="AY15">
        <f t="shared" si="8"/>
        <v>0.42893666245801182</v>
      </c>
      <c r="AZ15" cm="1">
        <f t="array" ref="AZ15">_xlfn.IFS(E15="H",AW15*AI15-AV15,E15="D",AX15*AJ15-AV15,E15="A",AY15*AK15-AV15)</f>
        <v>1.922717739644586E-2</v>
      </c>
      <c r="BA15">
        <f t="shared" si="9"/>
        <v>0.18646228059764902</v>
      </c>
    </row>
    <row r="16" spans="1:53" x14ac:dyDescent="0.2">
      <c r="A16">
        <v>5</v>
      </c>
      <c r="B16" t="s">
        <v>55</v>
      </c>
      <c r="C16" s="1">
        <v>43729</v>
      </c>
      <c r="D16" t="s">
        <v>73</v>
      </c>
      <c r="E16" t="s">
        <v>49</v>
      </c>
      <c r="F16" t="s">
        <v>117</v>
      </c>
      <c r="G16" t="s">
        <v>118</v>
      </c>
      <c r="H16">
        <v>43588</v>
      </c>
      <c r="I16" t="s">
        <v>119</v>
      </c>
      <c r="J16" t="s">
        <v>120</v>
      </c>
      <c r="K16" t="s">
        <v>54</v>
      </c>
      <c r="L16">
        <v>2019</v>
      </c>
      <c r="M16">
        <v>1</v>
      </c>
      <c r="N16">
        <v>1</v>
      </c>
      <c r="O16">
        <v>0.5</v>
      </c>
      <c r="P16">
        <v>1.5</v>
      </c>
      <c r="Q16">
        <v>1.7</v>
      </c>
      <c r="R16">
        <v>4</v>
      </c>
      <c r="S16">
        <v>4.75</v>
      </c>
      <c r="T16">
        <v>1.7</v>
      </c>
      <c r="U16">
        <v>4</v>
      </c>
      <c r="V16">
        <v>4.75</v>
      </c>
      <c r="W16">
        <v>1.8</v>
      </c>
      <c r="X16">
        <v>3.9</v>
      </c>
      <c r="Y16">
        <v>4.0999999999999996</v>
      </c>
      <c r="Z16">
        <v>1.74</v>
      </c>
      <c r="AA16">
        <v>4.05</v>
      </c>
      <c r="AB16">
        <v>4.76</v>
      </c>
      <c r="AC16">
        <v>1.73</v>
      </c>
      <c r="AD16">
        <v>4</v>
      </c>
      <c r="AE16">
        <v>4.5999999999999996</v>
      </c>
      <c r="AF16">
        <v>1.73</v>
      </c>
      <c r="AG16">
        <v>4.2</v>
      </c>
      <c r="AH16">
        <v>4.33</v>
      </c>
      <c r="AI16">
        <v>1.8</v>
      </c>
      <c r="AJ16">
        <v>4.2</v>
      </c>
      <c r="AK16">
        <v>4.95</v>
      </c>
      <c r="AL16">
        <v>1.73</v>
      </c>
      <c r="AM16">
        <v>4.0199999999999996</v>
      </c>
      <c r="AN16">
        <v>4.54</v>
      </c>
      <c r="AO16">
        <v>1</v>
      </c>
      <c r="AP16">
        <v>0.55797101449275299</v>
      </c>
      <c r="AQ16">
        <v>0.23913043478260801</v>
      </c>
      <c r="AR16">
        <v>0.202898550724637</v>
      </c>
      <c r="AS16">
        <v>1</v>
      </c>
      <c r="AT16">
        <v>4.34782608695671E-3</v>
      </c>
      <c r="AU16">
        <v>0.145753725869043</v>
      </c>
      <c r="AV16">
        <f t="shared" si="5"/>
        <v>2.0760032511393556</v>
      </c>
      <c r="AW16">
        <f t="shared" si="6"/>
        <v>1.158349640128481</v>
      </c>
      <c r="AX16">
        <f t="shared" si="7"/>
        <v>0.49643556005506329</v>
      </c>
      <c r="AY16">
        <f t="shared" si="8"/>
        <v>0.42121805095581127</v>
      </c>
      <c r="AZ16" cm="1">
        <f t="array" ref="AZ16">_xlfn.IFS(E16="H",AW16*AI16-AV16,E16="D",AX16*AJ16-AV16,E16="A",AY16*AK16-AV16)</f>
        <v>9.0261010919103768E-3</v>
      </c>
      <c r="BA16">
        <f t="shared" si="9"/>
        <v>0.1954883816895594</v>
      </c>
    </row>
    <row r="17" spans="1:53" x14ac:dyDescent="0.2">
      <c r="A17">
        <v>4</v>
      </c>
      <c r="B17" t="s">
        <v>67</v>
      </c>
      <c r="C17" s="1">
        <v>43730</v>
      </c>
      <c r="D17" t="s">
        <v>121</v>
      </c>
      <c r="E17" t="s">
        <v>49</v>
      </c>
      <c r="F17" t="s">
        <v>109</v>
      </c>
      <c r="G17" t="s">
        <v>122</v>
      </c>
      <c r="H17">
        <v>10937</v>
      </c>
      <c r="I17" t="s">
        <v>123</v>
      </c>
      <c r="J17" t="s">
        <v>124</v>
      </c>
      <c r="K17" t="s">
        <v>54</v>
      </c>
      <c r="L17">
        <v>2019</v>
      </c>
      <c r="M17">
        <v>1.5</v>
      </c>
      <c r="N17">
        <v>1.5</v>
      </c>
      <c r="O17">
        <v>1.5</v>
      </c>
      <c r="P17">
        <v>2.5</v>
      </c>
      <c r="Q17">
        <v>1.95</v>
      </c>
      <c r="R17">
        <v>3.3</v>
      </c>
      <c r="S17">
        <v>4.2</v>
      </c>
      <c r="T17">
        <v>1.95</v>
      </c>
      <c r="U17">
        <v>3.6</v>
      </c>
      <c r="V17">
        <v>3.8</v>
      </c>
      <c r="W17">
        <v>1.95</v>
      </c>
      <c r="X17">
        <v>3.6</v>
      </c>
      <c r="Y17">
        <v>3.8</v>
      </c>
      <c r="Z17">
        <v>1.96</v>
      </c>
      <c r="AA17">
        <v>3.69</v>
      </c>
      <c r="AB17">
        <v>4.0599999999999996</v>
      </c>
      <c r="AC17">
        <v>1.95</v>
      </c>
      <c r="AD17">
        <v>3.5</v>
      </c>
      <c r="AE17">
        <v>3.8</v>
      </c>
      <c r="AF17">
        <v>1.95</v>
      </c>
      <c r="AG17">
        <v>3.5</v>
      </c>
      <c r="AH17">
        <v>4.0999999999999996</v>
      </c>
      <c r="AI17">
        <v>2.0499999999999998</v>
      </c>
      <c r="AJ17">
        <v>3.7</v>
      </c>
      <c r="AK17">
        <v>4.2</v>
      </c>
      <c r="AL17">
        <v>1.97</v>
      </c>
      <c r="AM17">
        <v>3.55</v>
      </c>
      <c r="AN17">
        <v>3.88</v>
      </c>
      <c r="AO17">
        <v>1</v>
      </c>
      <c r="AP17">
        <v>0.48968016385694002</v>
      </c>
      <c r="AQ17">
        <v>0.27130927997479098</v>
      </c>
      <c r="AR17">
        <v>0.239010556168268</v>
      </c>
      <c r="AS17">
        <v>1</v>
      </c>
      <c r="AT17">
        <v>3.8443359067274999E-3</v>
      </c>
      <c r="AU17">
        <v>0.14959806177577001</v>
      </c>
      <c r="AV17">
        <f t="shared" si="5"/>
        <v>2.2714916328289148</v>
      </c>
      <c r="AW17">
        <f t="shared" si="6"/>
        <v>1.1123043949633318</v>
      </c>
      <c r="AX17">
        <f t="shared" si="7"/>
        <v>0.61627675937157567</v>
      </c>
      <c r="AY17">
        <f t="shared" si="8"/>
        <v>0.5429104784940072</v>
      </c>
      <c r="AZ17" cm="1">
        <f t="array" ref="AZ17">_xlfn.IFS(E17="H",AW17*AI17-AV17,E17="D",AX17*AJ17-AV17,E17="A",AY17*AK17-AV17)</f>
        <v>8.7323768459151019E-3</v>
      </c>
      <c r="BA17">
        <f t="shared" si="9"/>
        <v>0.2042207585354745</v>
      </c>
    </row>
    <row r="18" spans="1:53" x14ac:dyDescent="0.2">
      <c r="A18">
        <v>6</v>
      </c>
      <c r="B18" t="s">
        <v>67</v>
      </c>
      <c r="C18" s="1">
        <v>43730</v>
      </c>
      <c r="D18" t="s">
        <v>125</v>
      </c>
      <c r="E18" t="s">
        <v>49</v>
      </c>
      <c r="F18" t="s">
        <v>126</v>
      </c>
      <c r="G18" t="s">
        <v>127</v>
      </c>
      <c r="H18">
        <v>59936</v>
      </c>
      <c r="I18" t="s">
        <v>128</v>
      </c>
      <c r="J18" t="s">
        <v>129</v>
      </c>
      <c r="K18" t="s">
        <v>54</v>
      </c>
      <c r="L18">
        <v>2019</v>
      </c>
      <c r="M18">
        <v>1.75</v>
      </c>
      <c r="N18">
        <v>1.75</v>
      </c>
      <c r="O18">
        <v>0.75</v>
      </c>
      <c r="P18">
        <v>0.75</v>
      </c>
      <c r="Q18">
        <v>3.1</v>
      </c>
      <c r="R18">
        <v>3.6</v>
      </c>
      <c r="S18">
        <v>2.2000000000000002</v>
      </c>
      <c r="T18">
        <v>3.25</v>
      </c>
      <c r="U18">
        <v>3.6</v>
      </c>
      <c r="V18">
        <v>2.15</v>
      </c>
      <c r="W18">
        <v>3.4</v>
      </c>
      <c r="X18">
        <v>3.5</v>
      </c>
      <c r="Y18">
        <v>2.1</v>
      </c>
      <c r="Z18">
        <v>3.33</v>
      </c>
      <c r="AA18">
        <v>3.56</v>
      </c>
      <c r="AB18">
        <v>2.2400000000000002</v>
      </c>
      <c r="AC18">
        <v>3.2</v>
      </c>
      <c r="AD18">
        <v>3.6</v>
      </c>
      <c r="AE18">
        <v>2.2000000000000002</v>
      </c>
      <c r="AF18">
        <v>3.2</v>
      </c>
      <c r="AG18">
        <v>3.7</v>
      </c>
      <c r="AH18">
        <v>2.25</v>
      </c>
      <c r="AI18">
        <v>3.45</v>
      </c>
      <c r="AJ18">
        <v>3.72</v>
      </c>
      <c r="AK18">
        <v>2.2799999999999998</v>
      </c>
      <c r="AL18">
        <v>3.24</v>
      </c>
      <c r="AM18">
        <v>3.59</v>
      </c>
      <c r="AN18">
        <v>2.21</v>
      </c>
      <c r="AO18">
        <v>1</v>
      </c>
      <c r="AP18">
        <v>0.29064890204786498</v>
      </c>
      <c r="AQ18">
        <v>0.26955341722181098</v>
      </c>
      <c r="AR18">
        <v>0.43979768073032299</v>
      </c>
      <c r="AS18">
        <v>1</v>
      </c>
      <c r="AT18">
        <v>2.7387120651369799E-3</v>
      </c>
      <c r="AU18">
        <v>0.15233677384090699</v>
      </c>
      <c r="AV18">
        <f t="shared" si="5"/>
        <v>2.4757123913643895</v>
      </c>
      <c r="AW18">
        <f t="shared" si="6"/>
        <v>0.71956308833635607</v>
      </c>
      <c r="AX18">
        <f t="shared" si="7"/>
        <v>0.66733673515065273</v>
      </c>
      <c r="AY18">
        <f t="shared" si="8"/>
        <v>1.0888125678773808</v>
      </c>
      <c r="AZ18" cm="1">
        <f t="array" ref="AZ18">_xlfn.IFS(E18="H",AW18*AI18-AV18,E18="D",AX18*AJ18-AV18,E18="A",AY18*AK18-AV18)</f>
        <v>6.78026339603921E-3</v>
      </c>
      <c r="BA18">
        <f t="shared" si="9"/>
        <v>0.21100102193151371</v>
      </c>
    </row>
    <row r="19" spans="1:53" x14ac:dyDescent="0.2">
      <c r="A19">
        <v>5</v>
      </c>
      <c r="B19" t="s">
        <v>130</v>
      </c>
      <c r="C19" s="1">
        <v>43732</v>
      </c>
      <c r="D19" t="s">
        <v>68</v>
      </c>
      <c r="E19" t="s">
        <v>74</v>
      </c>
      <c r="F19" t="s">
        <v>131</v>
      </c>
      <c r="G19" t="s">
        <v>132</v>
      </c>
      <c r="H19">
        <v>14000</v>
      </c>
      <c r="I19" t="s">
        <v>133</v>
      </c>
      <c r="J19" t="s">
        <v>134</v>
      </c>
      <c r="K19" t="s">
        <v>54</v>
      </c>
      <c r="L19">
        <v>2019</v>
      </c>
      <c r="M19">
        <v>0</v>
      </c>
      <c r="N19">
        <v>3</v>
      </c>
      <c r="O19">
        <v>1</v>
      </c>
      <c r="P19">
        <v>0.25</v>
      </c>
      <c r="Q19">
        <v>6.5</v>
      </c>
      <c r="R19">
        <v>4.0999999999999996</v>
      </c>
      <c r="S19">
        <v>1.53</v>
      </c>
      <c r="T19">
        <v>6.75</v>
      </c>
      <c r="U19">
        <v>4</v>
      </c>
      <c r="V19">
        <v>1.53</v>
      </c>
      <c r="W19">
        <v>6.7</v>
      </c>
      <c r="X19">
        <v>4</v>
      </c>
      <c r="Y19">
        <v>1.53</v>
      </c>
      <c r="Z19">
        <v>6.44</v>
      </c>
      <c r="AA19">
        <v>4.0599999999999996</v>
      </c>
      <c r="AB19">
        <v>1.58</v>
      </c>
      <c r="AC19">
        <v>6.5</v>
      </c>
      <c r="AD19">
        <v>3.9</v>
      </c>
      <c r="AE19">
        <v>1.53</v>
      </c>
      <c r="AF19">
        <v>6.5</v>
      </c>
      <c r="AG19">
        <v>3.75</v>
      </c>
      <c r="AH19">
        <v>1.6</v>
      </c>
      <c r="AI19">
        <v>7.1</v>
      </c>
      <c r="AJ19">
        <v>4.2</v>
      </c>
      <c r="AK19">
        <v>1.62</v>
      </c>
      <c r="AL19">
        <v>6.33</v>
      </c>
      <c r="AM19">
        <v>4</v>
      </c>
      <c r="AN19">
        <v>1.57</v>
      </c>
      <c r="AO19">
        <v>1</v>
      </c>
      <c r="AP19">
        <v>0.141378880438848</v>
      </c>
      <c r="AQ19">
        <v>0.23899763121805201</v>
      </c>
      <c r="AR19">
        <v>0.61962348834309899</v>
      </c>
      <c r="AS19">
        <v>1</v>
      </c>
      <c r="AT19">
        <v>3.7900511158208599E-3</v>
      </c>
      <c r="AU19">
        <v>0.156126824956728</v>
      </c>
      <c r="AV19">
        <f t="shared" si="5"/>
        <v>2.6867134132959034</v>
      </c>
      <c r="AW19">
        <f t="shared" si="6"/>
        <v>0.37984453443181082</v>
      </c>
      <c r="AX19">
        <f t="shared" si="7"/>
        <v>0.64211814153948965</v>
      </c>
      <c r="AY19">
        <f t="shared" si="8"/>
        <v>1.6647507373246029</v>
      </c>
      <c r="AZ19" cm="1">
        <f t="array" ref="AZ19">_xlfn.IFS(E19="H",AW19*AI19-AV19,E19="D",AX19*AJ19-AV19,E19="A",AY19*AK19-AV19)</f>
        <v>1.0182781169953525E-2</v>
      </c>
      <c r="BA19">
        <f t="shared" si="9"/>
        <v>0.22118380310146724</v>
      </c>
    </row>
    <row r="20" spans="1:53" x14ac:dyDescent="0.2">
      <c r="A20">
        <v>7</v>
      </c>
      <c r="B20" t="s">
        <v>130</v>
      </c>
      <c r="C20" s="1">
        <v>43732</v>
      </c>
      <c r="D20" t="s">
        <v>68</v>
      </c>
      <c r="E20" t="s">
        <v>49</v>
      </c>
      <c r="F20" t="s">
        <v>135</v>
      </c>
      <c r="G20" t="s">
        <v>104</v>
      </c>
      <c r="H20">
        <v>9358</v>
      </c>
      <c r="I20" t="s">
        <v>136</v>
      </c>
      <c r="J20" t="s">
        <v>137</v>
      </c>
      <c r="K20" t="s">
        <v>54</v>
      </c>
      <c r="L20">
        <v>2019</v>
      </c>
      <c r="M20">
        <v>1</v>
      </c>
      <c r="N20">
        <v>1.75</v>
      </c>
      <c r="O20">
        <v>1.5</v>
      </c>
      <c r="P20">
        <v>1.25</v>
      </c>
      <c r="Q20">
        <v>2</v>
      </c>
      <c r="R20">
        <v>3.5</v>
      </c>
      <c r="S20">
        <v>3.8</v>
      </c>
      <c r="T20">
        <v>2</v>
      </c>
      <c r="U20">
        <v>3.5</v>
      </c>
      <c r="V20">
        <v>3.75</v>
      </c>
      <c r="W20">
        <v>2.1</v>
      </c>
      <c r="X20">
        <v>3.35</v>
      </c>
      <c r="Y20">
        <v>3.6</v>
      </c>
      <c r="Z20">
        <v>2.0099999999999998</v>
      </c>
      <c r="AA20">
        <v>3.59</v>
      </c>
      <c r="AB20">
        <v>3.96</v>
      </c>
      <c r="AC20">
        <v>1.95</v>
      </c>
      <c r="AD20">
        <v>3.5</v>
      </c>
      <c r="AE20">
        <v>3.9</v>
      </c>
      <c r="AF20">
        <v>1.95</v>
      </c>
      <c r="AG20">
        <v>3.5</v>
      </c>
      <c r="AH20">
        <v>3.8</v>
      </c>
      <c r="AI20">
        <v>2.1</v>
      </c>
      <c r="AJ20">
        <v>3.72</v>
      </c>
      <c r="AK20">
        <v>4.0999999999999996</v>
      </c>
      <c r="AL20">
        <v>1.98</v>
      </c>
      <c r="AM20">
        <v>3.54</v>
      </c>
      <c r="AN20">
        <v>3.83</v>
      </c>
      <c r="AO20">
        <v>1</v>
      </c>
      <c r="AP20">
        <v>0.48153059291532402</v>
      </c>
      <c r="AQ20">
        <v>0.27183178632316701</v>
      </c>
      <c r="AR20">
        <v>0.246637620761507</v>
      </c>
      <c r="AS20">
        <v>1</v>
      </c>
      <c r="AT20">
        <v>1.12142451221823E-2</v>
      </c>
      <c r="AU20">
        <v>0.16734107007891</v>
      </c>
      <c r="AV20">
        <f t="shared" si="5"/>
        <v>2.9078972163973704</v>
      </c>
      <c r="AW20">
        <f t="shared" si="6"/>
        <v>1.4002414707486486</v>
      </c>
      <c r="AX20">
        <f t="shared" si="7"/>
        <v>0.79045889477746289</v>
      </c>
      <c r="AY20">
        <f t="shared" si="8"/>
        <v>0.71719685087125906</v>
      </c>
      <c r="AZ20" cm="1">
        <f t="array" ref="AZ20">_xlfn.IFS(E20="H",AW20*AI20-AV20,E20="D",AX20*AJ20-AV20,E20="A",AY20*AK20-AV20)</f>
        <v>3.2609872174791832E-2</v>
      </c>
      <c r="BA20">
        <f t="shared" si="9"/>
        <v>0.25379367527625907</v>
      </c>
    </row>
    <row r="21" spans="1:53" x14ac:dyDescent="0.2">
      <c r="A21">
        <v>6</v>
      </c>
      <c r="B21" t="s">
        <v>55</v>
      </c>
      <c r="C21" s="1">
        <v>43736</v>
      </c>
      <c r="D21" t="s">
        <v>73</v>
      </c>
      <c r="E21" t="s">
        <v>74</v>
      </c>
      <c r="F21" t="s">
        <v>138</v>
      </c>
      <c r="G21" t="s">
        <v>76</v>
      </c>
      <c r="H21">
        <v>29030</v>
      </c>
      <c r="I21" t="s">
        <v>139</v>
      </c>
      <c r="J21" t="s">
        <v>140</v>
      </c>
      <c r="K21" t="s">
        <v>54</v>
      </c>
      <c r="L21">
        <v>2019</v>
      </c>
      <c r="M21">
        <v>0.75</v>
      </c>
      <c r="N21">
        <v>1</v>
      </c>
      <c r="O21">
        <v>2.25</v>
      </c>
      <c r="P21">
        <v>2</v>
      </c>
      <c r="Q21">
        <v>2.5</v>
      </c>
      <c r="R21">
        <v>3.5</v>
      </c>
      <c r="S21">
        <v>2.75</v>
      </c>
      <c r="T21">
        <v>2.4500000000000002</v>
      </c>
      <c r="U21">
        <v>3.5</v>
      </c>
      <c r="V21">
        <v>2.8</v>
      </c>
      <c r="W21">
        <v>2.6</v>
      </c>
      <c r="X21">
        <v>3.5</v>
      </c>
      <c r="Y21">
        <v>2.6</v>
      </c>
      <c r="Z21">
        <v>2.4300000000000002</v>
      </c>
      <c r="AA21">
        <v>3.69</v>
      </c>
      <c r="AB21">
        <v>2.88</v>
      </c>
      <c r="AC21">
        <v>2.4</v>
      </c>
      <c r="AD21">
        <v>3.6</v>
      </c>
      <c r="AE21">
        <v>2.8</v>
      </c>
      <c r="AF21">
        <v>2.4500000000000002</v>
      </c>
      <c r="AG21">
        <v>3.6</v>
      </c>
      <c r="AH21">
        <v>2.8</v>
      </c>
      <c r="AI21">
        <v>2.6</v>
      </c>
      <c r="AJ21">
        <v>3.75</v>
      </c>
      <c r="AK21">
        <v>2.89</v>
      </c>
      <c r="AL21">
        <v>2.4300000000000002</v>
      </c>
      <c r="AM21">
        <v>3.61</v>
      </c>
      <c r="AN21">
        <v>2.79</v>
      </c>
      <c r="AO21">
        <v>1</v>
      </c>
      <c r="AP21">
        <v>0.385655569987367</v>
      </c>
      <c r="AQ21">
        <v>0.26738786185790703</v>
      </c>
      <c r="AR21">
        <v>0.34695656815472398</v>
      </c>
      <c r="AS21">
        <v>1</v>
      </c>
      <c r="AT21">
        <v>2.7044819671548899E-3</v>
      </c>
      <c r="AU21">
        <v>0.170045552046065</v>
      </c>
      <c r="AV21">
        <f t="shared" si="5"/>
        <v>3.1616908916736293</v>
      </c>
      <c r="AW21">
        <f t="shared" si="6"/>
        <v>1.2193237029522608</v>
      </c>
      <c r="AX21">
        <f t="shared" si="7"/>
        <v>0.8453977673802342</v>
      </c>
      <c r="AY21">
        <f t="shared" si="8"/>
        <v>1.0969694213411343</v>
      </c>
      <c r="AZ21" cm="1">
        <f t="array" ref="AZ21">_xlfn.IFS(E21="H",AW21*AI21-AV21,E21="D",AX21*AJ21-AV21,E21="A",AY21*AK21-AV21)</f>
        <v>8.550736002248982E-3</v>
      </c>
      <c r="BA21">
        <f t="shared" si="9"/>
        <v>0.26234441127850805</v>
      </c>
    </row>
    <row r="22" spans="1:53" x14ac:dyDescent="0.2">
      <c r="A22">
        <v>6</v>
      </c>
      <c r="B22" t="s">
        <v>67</v>
      </c>
      <c r="C22" s="1">
        <v>43737</v>
      </c>
      <c r="D22" t="s">
        <v>107</v>
      </c>
      <c r="E22" t="s">
        <v>57</v>
      </c>
      <c r="F22" t="s">
        <v>141</v>
      </c>
      <c r="G22" t="s">
        <v>142</v>
      </c>
      <c r="H22">
        <v>15846</v>
      </c>
      <c r="I22" t="s">
        <v>143</v>
      </c>
      <c r="J22" t="s">
        <v>144</v>
      </c>
      <c r="K22" t="s">
        <v>54</v>
      </c>
      <c r="L22">
        <v>2019</v>
      </c>
      <c r="M22">
        <v>0.75</v>
      </c>
      <c r="N22">
        <v>1.25</v>
      </c>
      <c r="O22">
        <v>1.5</v>
      </c>
      <c r="P22">
        <v>1</v>
      </c>
      <c r="Q22">
        <v>2.0499999999999998</v>
      </c>
      <c r="R22">
        <v>3.3</v>
      </c>
      <c r="S22">
        <v>3.75</v>
      </c>
      <c r="T22">
        <v>2.0499999999999998</v>
      </c>
      <c r="U22">
        <v>3.3</v>
      </c>
      <c r="V22">
        <v>3.8</v>
      </c>
      <c r="W22">
        <v>2.1</v>
      </c>
      <c r="X22">
        <v>3.3</v>
      </c>
      <c r="Y22">
        <v>3.75</v>
      </c>
      <c r="Z22">
        <v>2.08</v>
      </c>
      <c r="AA22">
        <v>3.5</v>
      </c>
      <c r="AB22">
        <v>3.82</v>
      </c>
      <c r="AC22">
        <v>2</v>
      </c>
      <c r="AD22">
        <v>3.4</v>
      </c>
      <c r="AE22">
        <v>3.8</v>
      </c>
      <c r="AF22">
        <v>2</v>
      </c>
      <c r="AG22">
        <v>3.13</v>
      </c>
      <c r="AH22">
        <v>4</v>
      </c>
      <c r="AI22">
        <v>2.2000000000000002</v>
      </c>
      <c r="AJ22">
        <v>3.5</v>
      </c>
      <c r="AK22">
        <v>4</v>
      </c>
      <c r="AL22">
        <v>2.08</v>
      </c>
      <c r="AM22">
        <v>3.35</v>
      </c>
      <c r="AN22">
        <v>3.72</v>
      </c>
      <c r="AO22">
        <v>1</v>
      </c>
      <c r="AP22">
        <v>0.45901639344262202</v>
      </c>
      <c r="AQ22">
        <v>0.288524590163934</v>
      </c>
      <c r="AR22">
        <v>0.25245901639344198</v>
      </c>
      <c r="AS22">
        <v>1</v>
      </c>
      <c r="AT22">
        <v>9.8360655737705898E-3</v>
      </c>
      <c r="AU22">
        <v>0.17988161761983601</v>
      </c>
      <c r="AV22">
        <f t="shared" si="5"/>
        <v>3.4240353029521371</v>
      </c>
      <c r="AW22">
        <f t="shared" si="6"/>
        <v>1.5716883357813087</v>
      </c>
      <c r="AX22">
        <f t="shared" si="7"/>
        <v>0.98791838249110842</v>
      </c>
      <c r="AY22">
        <f t="shared" si="8"/>
        <v>0.86442858467971984</v>
      </c>
      <c r="AZ22" cm="1">
        <f t="array" ref="AZ22">_xlfn.IFS(E22="H",AW22*AI22-AV22,E22="D",AX22*AJ22-AV22,E22="A",AY22*AK22-AV22)</f>
        <v>3.3679035766742249E-2</v>
      </c>
      <c r="BA22">
        <f t="shared" si="9"/>
        <v>0.2960234470452503</v>
      </c>
    </row>
    <row r="23" spans="1:53" x14ac:dyDescent="0.2">
      <c r="A23">
        <v>7</v>
      </c>
      <c r="B23" t="s">
        <v>55</v>
      </c>
      <c r="C23" s="1">
        <v>43743</v>
      </c>
      <c r="D23" t="s">
        <v>73</v>
      </c>
      <c r="E23" t="s">
        <v>74</v>
      </c>
      <c r="F23" t="s">
        <v>118</v>
      </c>
      <c r="G23" t="s">
        <v>75</v>
      </c>
      <c r="H23">
        <v>14217</v>
      </c>
      <c r="I23" t="s">
        <v>145</v>
      </c>
      <c r="J23" t="s">
        <v>146</v>
      </c>
      <c r="K23" t="s">
        <v>54</v>
      </c>
      <c r="L23">
        <v>2019</v>
      </c>
      <c r="M23">
        <v>0</v>
      </c>
      <c r="N23">
        <v>1.3333333333333299</v>
      </c>
      <c r="O23">
        <v>0.75</v>
      </c>
      <c r="P23">
        <v>1</v>
      </c>
      <c r="Q23">
        <v>2.5</v>
      </c>
      <c r="R23">
        <v>3.5</v>
      </c>
      <c r="S23">
        <v>2.8</v>
      </c>
      <c r="T23">
        <v>2.5499999999999998</v>
      </c>
      <c r="U23">
        <v>3.6</v>
      </c>
      <c r="V23">
        <v>2.65</v>
      </c>
      <c r="W23">
        <v>2.6</v>
      </c>
      <c r="X23">
        <v>3.5</v>
      </c>
      <c r="Y23">
        <v>2.6</v>
      </c>
      <c r="Z23">
        <v>2.5299999999999998</v>
      </c>
      <c r="AA23">
        <v>3.87</v>
      </c>
      <c r="AB23">
        <v>2.67</v>
      </c>
      <c r="AC23">
        <v>2.5</v>
      </c>
      <c r="AD23">
        <v>3.75</v>
      </c>
      <c r="AE23">
        <v>2.62</v>
      </c>
      <c r="AF23">
        <v>2.4500000000000002</v>
      </c>
      <c r="AG23">
        <v>3.8</v>
      </c>
      <c r="AH23">
        <v>2.7</v>
      </c>
      <c r="AI23">
        <v>2.6</v>
      </c>
      <c r="AJ23">
        <v>3.9</v>
      </c>
      <c r="AK23">
        <v>2.8</v>
      </c>
      <c r="AL23">
        <v>2.4900000000000002</v>
      </c>
      <c r="AM23">
        <v>3.75</v>
      </c>
      <c r="AN23">
        <v>2.64</v>
      </c>
      <c r="AO23">
        <v>1</v>
      </c>
      <c r="AP23">
        <v>0.38532110091743099</v>
      </c>
      <c r="AQ23">
        <v>0.25688073394495398</v>
      </c>
      <c r="AR23">
        <v>0.35779816513761398</v>
      </c>
      <c r="AS23">
        <v>1</v>
      </c>
      <c r="AT23">
        <v>1.8348623853210401E-3</v>
      </c>
      <c r="AU23">
        <v>0.181716480005157</v>
      </c>
      <c r="AV23">
        <f t="shared" si="5"/>
        <v>3.7200587499973876</v>
      </c>
      <c r="AW23">
        <f t="shared" si="6"/>
        <v>1.4334171330265162</v>
      </c>
      <c r="AX23">
        <f t="shared" si="7"/>
        <v>0.95561142201767746</v>
      </c>
      <c r="AY23">
        <f t="shared" si="8"/>
        <v>1.3310301949531937</v>
      </c>
      <c r="AZ23" cm="1">
        <f t="array" ref="AZ23">_xlfn.IFS(E23="H",AW23*AI23-AV23,E23="D",AX23*AJ23-AV23,E23="A",AY23*AK23-AV23)</f>
        <v>6.8257958715545186E-3</v>
      </c>
      <c r="BA23">
        <f t="shared" si="9"/>
        <v>0.30284924291680482</v>
      </c>
    </row>
    <row r="24" spans="1:53" x14ac:dyDescent="0.2">
      <c r="A24">
        <v>7</v>
      </c>
      <c r="B24" t="s">
        <v>67</v>
      </c>
      <c r="C24" s="1">
        <v>43744</v>
      </c>
      <c r="D24" t="s">
        <v>147</v>
      </c>
      <c r="E24" t="s">
        <v>49</v>
      </c>
      <c r="F24" t="s">
        <v>76</v>
      </c>
      <c r="G24" t="s">
        <v>148</v>
      </c>
      <c r="H24">
        <v>50352</v>
      </c>
      <c r="I24" t="s">
        <v>149</v>
      </c>
      <c r="J24" t="s">
        <v>150</v>
      </c>
      <c r="K24" t="s">
        <v>54</v>
      </c>
      <c r="L24">
        <v>2019</v>
      </c>
      <c r="M24">
        <v>1</v>
      </c>
      <c r="N24">
        <v>0.75</v>
      </c>
      <c r="O24">
        <v>0.25</v>
      </c>
      <c r="P24">
        <v>1.25</v>
      </c>
      <c r="Q24">
        <v>1.5</v>
      </c>
      <c r="R24">
        <v>4.33</v>
      </c>
      <c r="S24">
        <v>6.5</v>
      </c>
      <c r="T24">
        <v>1.53</v>
      </c>
      <c r="U24">
        <v>4.4000000000000004</v>
      </c>
      <c r="V24">
        <v>6</v>
      </c>
      <c r="W24">
        <v>1.55</v>
      </c>
      <c r="X24">
        <v>4.55</v>
      </c>
      <c r="Y24">
        <v>5.5</v>
      </c>
      <c r="Z24">
        <v>1.54</v>
      </c>
      <c r="AA24">
        <v>4.66</v>
      </c>
      <c r="AB24">
        <v>5.95</v>
      </c>
      <c r="AC24">
        <v>1.52</v>
      </c>
      <c r="AD24">
        <v>4.5</v>
      </c>
      <c r="AE24">
        <v>5.8</v>
      </c>
      <c r="AF24">
        <v>1.5</v>
      </c>
      <c r="AG24">
        <v>4.5999999999999996</v>
      </c>
      <c r="AH24">
        <v>5.4</v>
      </c>
      <c r="AI24">
        <v>1.6</v>
      </c>
      <c r="AJ24">
        <v>4.75</v>
      </c>
      <c r="AK24">
        <v>6.5</v>
      </c>
      <c r="AL24">
        <v>1.53</v>
      </c>
      <c r="AM24">
        <v>4.53</v>
      </c>
      <c r="AN24">
        <v>5.75</v>
      </c>
      <c r="AO24">
        <v>1</v>
      </c>
      <c r="AP24">
        <v>0.63171355498721204</v>
      </c>
      <c r="AQ24">
        <v>0.212787723785166</v>
      </c>
      <c r="AR24">
        <v>0.15549872122762101</v>
      </c>
      <c r="AS24">
        <v>1</v>
      </c>
      <c r="AT24">
        <v>1.07416879795396E-2</v>
      </c>
      <c r="AU24">
        <v>0.192458167984697</v>
      </c>
      <c r="AV24">
        <f t="shared" si="5"/>
        <v>4.0229079929141927</v>
      </c>
      <c r="AW24">
        <f t="shared" si="6"/>
        <v>2.5413255095902958</v>
      </c>
      <c r="AX24">
        <f t="shared" si="7"/>
        <v>0.85602543480936277</v>
      </c>
      <c r="AY24">
        <f t="shared" si="8"/>
        <v>0.62555704851453431</v>
      </c>
      <c r="AZ24" cm="1">
        <f t="array" ref="AZ24">_xlfn.IFS(E24="H",AW24*AI24-AV24,E24="D",AX24*AJ24-AV24,E24="A",AY24*AK24-AV24)</f>
        <v>4.3212822430280795E-2</v>
      </c>
      <c r="BA24">
        <f t="shared" si="9"/>
        <v>0.34606206534708561</v>
      </c>
    </row>
    <row r="25" spans="1:53" x14ac:dyDescent="0.2">
      <c r="A25">
        <v>10</v>
      </c>
      <c r="B25" t="s">
        <v>47</v>
      </c>
      <c r="C25" s="1">
        <v>43763</v>
      </c>
      <c r="D25" t="s">
        <v>151</v>
      </c>
      <c r="E25" t="s">
        <v>74</v>
      </c>
      <c r="F25" t="s">
        <v>152</v>
      </c>
      <c r="G25" t="s">
        <v>153</v>
      </c>
      <c r="H25">
        <v>28762</v>
      </c>
      <c r="I25" t="s">
        <v>154</v>
      </c>
      <c r="J25" t="s">
        <v>155</v>
      </c>
      <c r="K25" t="s">
        <v>54</v>
      </c>
      <c r="L25">
        <v>2019</v>
      </c>
      <c r="M25">
        <v>0.25</v>
      </c>
      <c r="N25">
        <v>1</v>
      </c>
      <c r="O25">
        <v>1</v>
      </c>
      <c r="P25">
        <v>1</v>
      </c>
      <c r="Q25">
        <v>3.1</v>
      </c>
      <c r="R25">
        <v>3.4</v>
      </c>
      <c r="S25">
        <v>2.2999999999999998</v>
      </c>
      <c r="T25">
        <v>3.25</v>
      </c>
      <c r="U25">
        <v>3.4</v>
      </c>
      <c r="V25">
        <v>2.2999999999999998</v>
      </c>
      <c r="W25">
        <v>3.15</v>
      </c>
      <c r="X25">
        <v>3.3</v>
      </c>
      <c r="Y25">
        <v>2.2999999999999998</v>
      </c>
      <c r="Z25">
        <v>3.25</v>
      </c>
      <c r="AA25">
        <v>3.34</v>
      </c>
      <c r="AB25">
        <v>2.38</v>
      </c>
      <c r="AC25">
        <v>3.2</v>
      </c>
      <c r="AD25">
        <v>3.3</v>
      </c>
      <c r="AE25">
        <v>2.2999999999999998</v>
      </c>
      <c r="AF25">
        <v>3.2</v>
      </c>
      <c r="AG25">
        <v>3.3</v>
      </c>
      <c r="AH25">
        <v>2.38</v>
      </c>
      <c r="AI25">
        <v>3.3</v>
      </c>
      <c r="AJ25">
        <v>3.5</v>
      </c>
      <c r="AK25">
        <v>2.4500000000000002</v>
      </c>
      <c r="AL25">
        <v>3.2</v>
      </c>
      <c r="AM25">
        <v>3.34</v>
      </c>
      <c r="AN25">
        <v>2.36</v>
      </c>
      <c r="AO25">
        <v>1</v>
      </c>
      <c r="AP25">
        <v>0.30397022332506202</v>
      </c>
      <c r="AQ25">
        <v>0.28660049627791501</v>
      </c>
      <c r="AR25">
        <v>0.40942928039702198</v>
      </c>
      <c r="AS25">
        <v>1</v>
      </c>
      <c r="AT25">
        <v>3.1017369727046602E-3</v>
      </c>
      <c r="AU25">
        <v>0.195559904957401</v>
      </c>
      <c r="AV25">
        <f t="shared" si="5"/>
        <v>4.3689700582612785</v>
      </c>
      <c r="AW25">
        <f t="shared" si="6"/>
        <v>1.3280368043101902</v>
      </c>
      <c r="AX25">
        <f t="shared" si="7"/>
        <v>1.2521489869210365</v>
      </c>
      <c r="AY25">
        <f t="shared" si="8"/>
        <v>1.7887842670300518</v>
      </c>
      <c r="AZ25" cm="1">
        <f t="array" ref="AZ25">_xlfn.IFS(E25="H",AW25*AI25-AV25,E25="D",AX25*AJ25-AV25,E25="A",AY25*AK25-AV25)</f>
        <v>1.3551395962348778E-2</v>
      </c>
      <c r="BA25">
        <f t="shared" si="9"/>
        <v>0.35961346130943439</v>
      </c>
    </row>
    <row r="26" spans="1:53" x14ac:dyDescent="0.2">
      <c r="A26">
        <v>10</v>
      </c>
      <c r="B26" t="s">
        <v>67</v>
      </c>
      <c r="C26" s="1">
        <v>43765</v>
      </c>
      <c r="D26" t="s">
        <v>156</v>
      </c>
      <c r="E26" t="s">
        <v>74</v>
      </c>
      <c r="F26" t="s">
        <v>157</v>
      </c>
      <c r="G26" t="s">
        <v>158</v>
      </c>
      <c r="H26">
        <v>18002</v>
      </c>
      <c r="I26" t="s">
        <v>159</v>
      </c>
      <c r="J26" t="s">
        <v>116</v>
      </c>
      <c r="K26" t="s">
        <v>54</v>
      </c>
      <c r="L26">
        <v>2019</v>
      </c>
      <c r="M26">
        <v>1.75</v>
      </c>
      <c r="N26">
        <v>0.75</v>
      </c>
      <c r="O26">
        <v>1.5</v>
      </c>
      <c r="P26">
        <v>1.5</v>
      </c>
      <c r="Q26">
        <v>3</v>
      </c>
      <c r="R26">
        <v>3.25</v>
      </c>
      <c r="S26">
        <v>2.4500000000000002</v>
      </c>
      <c r="T26">
        <v>2.8</v>
      </c>
      <c r="U26">
        <v>3.4</v>
      </c>
      <c r="V26">
        <v>2.5</v>
      </c>
      <c r="W26">
        <v>2.85</v>
      </c>
      <c r="X26">
        <v>3.3</v>
      </c>
      <c r="Y26">
        <v>2.5</v>
      </c>
      <c r="Z26">
        <v>2.9</v>
      </c>
      <c r="AA26">
        <v>3.28</v>
      </c>
      <c r="AB26">
        <v>2.63</v>
      </c>
      <c r="AC26">
        <v>2.8</v>
      </c>
      <c r="AD26">
        <v>3.25</v>
      </c>
      <c r="AE26">
        <v>2.6</v>
      </c>
      <c r="AF26">
        <v>2.8</v>
      </c>
      <c r="AG26">
        <v>3.3</v>
      </c>
      <c r="AH26">
        <v>2.5</v>
      </c>
      <c r="AI26">
        <v>3</v>
      </c>
      <c r="AJ26">
        <v>3.4</v>
      </c>
      <c r="AK26">
        <v>2.7</v>
      </c>
      <c r="AL26">
        <v>2.84</v>
      </c>
      <c r="AM26">
        <v>3.29</v>
      </c>
      <c r="AN26">
        <v>2.54</v>
      </c>
      <c r="AO26">
        <v>1</v>
      </c>
      <c r="AP26">
        <v>0.33406113537117899</v>
      </c>
      <c r="AQ26">
        <v>0.29475982532750999</v>
      </c>
      <c r="AR26">
        <v>0.37117903930131002</v>
      </c>
      <c r="AS26">
        <v>1</v>
      </c>
      <c r="AT26">
        <v>2.1834061135370601E-3</v>
      </c>
      <c r="AU26">
        <v>0.19774331107093801</v>
      </c>
      <c r="AV26">
        <f t="shared" si="5"/>
        <v>4.7285835195707131</v>
      </c>
      <c r="AW26">
        <f t="shared" si="6"/>
        <v>1.5796359792452381</v>
      </c>
      <c r="AX26">
        <f t="shared" si="7"/>
        <v>1.3937964522752102</v>
      </c>
      <c r="AY26">
        <f t="shared" si="8"/>
        <v>1.7551510880502645</v>
      </c>
      <c r="AZ26" cm="1">
        <f t="array" ref="AZ26">_xlfn.IFS(E26="H",AW26*AI26-AV26,E26="D",AX26*AJ26-AV26,E26="A",AY26*AK26-AV26)</f>
        <v>1.032441816500107E-2</v>
      </c>
      <c r="BA26">
        <f t="shared" si="9"/>
        <v>0.36993787947443546</v>
      </c>
    </row>
    <row r="27" spans="1:53" x14ac:dyDescent="0.2">
      <c r="A27">
        <v>10</v>
      </c>
      <c r="B27" t="s">
        <v>67</v>
      </c>
      <c r="C27" s="1">
        <v>43765</v>
      </c>
      <c r="D27" t="s">
        <v>160</v>
      </c>
      <c r="E27" t="s">
        <v>49</v>
      </c>
      <c r="F27" t="s">
        <v>161</v>
      </c>
      <c r="G27" t="s">
        <v>162</v>
      </c>
      <c r="H27">
        <v>38181</v>
      </c>
      <c r="I27" t="s">
        <v>163</v>
      </c>
      <c r="J27" t="s">
        <v>164</v>
      </c>
      <c r="K27" t="s">
        <v>54</v>
      </c>
      <c r="L27">
        <v>2019</v>
      </c>
      <c r="M27">
        <v>1.75</v>
      </c>
      <c r="N27">
        <v>1.25</v>
      </c>
      <c r="O27">
        <v>1.25</v>
      </c>
      <c r="P27">
        <v>1.5</v>
      </c>
      <c r="Q27">
        <v>1.72</v>
      </c>
      <c r="R27">
        <v>3.3</v>
      </c>
      <c r="S27">
        <v>6</v>
      </c>
      <c r="T27">
        <v>1.72</v>
      </c>
      <c r="U27">
        <v>3.5</v>
      </c>
      <c r="V27">
        <v>5.5</v>
      </c>
      <c r="W27">
        <v>1.73</v>
      </c>
      <c r="X27">
        <v>3.6</v>
      </c>
      <c r="Y27">
        <v>5.0999999999999996</v>
      </c>
      <c r="Z27">
        <v>1.7</v>
      </c>
      <c r="AA27">
        <v>3.8</v>
      </c>
      <c r="AB27">
        <v>5.55</v>
      </c>
      <c r="AC27">
        <v>1.7</v>
      </c>
      <c r="AD27">
        <v>3.7</v>
      </c>
      <c r="AE27">
        <v>5.25</v>
      </c>
      <c r="AF27">
        <v>1.7</v>
      </c>
      <c r="AG27">
        <v>3.6</v>
      </c>
      <c r="AH27">
        <v>5.2</v>
      </c>
      <c r="AI27">
        <v>1.78</v>
      </c>
      <c r="AJ27">
        <v>3.8</v>
      </c>
      <c r="AK27">
        <v>6</v>
      </c>
      <c r="AL27">
        <v>1.73</v>
      </c>
      <c r="AM27">
        <v>3.62</v>
      </c>
      <c r="AN27">
        <v>5.22</v>
      </c>
      <c r="AO27">
        <v>1</v>
      </c>
      <c r="AP27">
        <v>0.566544081105258</v>
      </c>
      <c r="AQ27">
        <v>0.26538117483351498</v>
      </c>
      <c r="AR27">
        <v>0.16807474406122599</v>
      </c>
      <c r="AS27">
        <v>1</v>
      </c>
      <c r="AT27">
        <v>8.4484643673592395E-3</v>
      </c>
      <c r="AU27">
        <v>0.206191775438298</v>
      </c>
      <c r="AV27">
        <f t="shared" si="5"/>
        <v>5.0985213990451488</v>
      </c>
      <c r="AW27">
        <f t="shared" si="6"/>
        <v>2.8885371210175279</v>
      </c>
      <c r="AX27">
        <f t="shared" si="7"/>
        <v>1.353051598792421</v>
      </c>
      <c r="AY27">
        <f t="shared" si="8"/>
        <v>0.85693267923519989</v>
      </c>
      <c r="AZ27" cm="1">
        <f t="array" ref="AZ27">_xlfn.IFS(E27="H",AW27*AI27-AV27,E27="D",AX27*AJ27-AV27,E27="A",AY27*AK27-AV27)</f>
        <v>4.3074676366051001E-2</v>
      </c>
      <c r="BA27">
        <f t="shared" si="9"/>
        <v>0.41301255584048646</v>
      </c>
    </row>
    <row r="28" spans="1:53" x14ac:dyDescent="0.2">
      <c r="A28">
        <v>11</v>
      </c>
      <c r="B28" t="s">
        <v>130</v>
      </c>
      <c r="C28" s="1">
        <v>43767</v>
      </c>
      <c r="D28" t="s">
        <v>165</v>
      </c>
      <c r="E28" t="s">
        <v>49</v>
      </c>
      <c r="F28" t="s">
        <v>87</v>
      </c>
      <c r="G28" t="s">
        <v>166</v>
      </c>
      <c r="H28">
        <v>59896</v>
      </c>
      <c r="I28" t="s">
        <v>167</v>
      </c>
      <c r="J28" t="s">
        <v>168</v>
      </c>
      <c r="K28" t="s">
        <v>54</v>
      </c>
      <c r="L28">
        <v>2019</v>
      </c>
      <c r="M28">
        <v>3</v>
      </c>
      <c r="N28">
        <v>4</v>
      </c>
      <c r="O28">
        <v>1</v>
      </c>
      <c r="P28">
        <v>0.75</v>
      </c>
      <c r="Q28">
        <v>1.1200000000000001</v>
      </c>
      <c r="R28">
        <v>9.5</v>
      </c>
      <c r="S28">
        <v>17</v>
      </c>
      <c r="T28">
        <v>1.1299999999999999</v>
      </c>
      <c r="U28">
        <v>9.5</v>
      </c>
      <c r="V28">
        <v>17.5</v>
      </c>
      <c r="W28">
        <v>1.1499999999999999</v>
      </c>
      <c r="X28">
        <v>8</v>
      </c>
      <c r="Y28">
        <v>18</v>
      </c>
      <c r="Z28">
        <v>1.1299999999999999</v>
      </c>
      <c r="AA28">
        <v>9.42</v>
      </c>
      <c r="AB28">
        <v>19.86</v>
      </c>
      <c r="AC28">
        <v>1.1399999999999999</v>
      </c>
      <c r="AD28">
        <v>8.5</v>
      </c>
      <c r="AE28">
        <v>19</v>
      </c>
      <c r="AF28">
        <v>1.1299999999999999</v>
      </c>
      <c r="AG28">
        <v>9.5</v>
      </c>
      <c r="AH28">
        <v>18</v>
      </c>
      <c r="AI28">
        <v>1.17</v>
      </c>
      <c r="AJ28">
        <v>10</v>
      </c>
      <c r="AK28">
        <v>23</v>
      </c>
      <c r="AL28">
        <v>1.1299999999999999</v>
      </c>
      <c r="AM28">
        <v>9.0299999999999994</v>
      </c>
      <c r="AN28">
        <v>19.440000000000001</v>
      </c>
      <c r="AO28">
        <v>1</v>
      </c>
      <c r="AP28">
        <v>0.85626000521201695</v>
      </c>
      <c r="AQ28">
        <v>0.10018242060980601</v>
      </c>
      <c r="AR28">
        <v>4.3557574178176503E-2</v>
      </c>
      <c r="AS28">
        <v>0.999999999999999</v>
      </c>
      <c r="AT28">
        <v>1.82420609806022E-3</v>
      </c>
      <c r="AU28">
        <v>0.208015981536358</v>
      </c>
      <c r="AV28">
        <f t="shared" si="5"/>
        <v>5.5115339548856355</v>
      </c>
      <c r="AW28">
        <f t="shared" si="6"/>
        <v>4.7193060929365851</v>
      </c>
      <c r="AX28">
        <f t="shared" si="7"/>
        <v>0.55215881287358048</v>
      </c>
      <c r="AY28">
        <f t="shared" si="8"/>
        <v>0.24006904907546975</v>
      </c>
      <c r="AZ28" cm="1">
        <f t="array" ref="AZ28">_xlfn.IFS(E28="H",AW28*AI28-AV28,E28="D",AX28*AJ28-AV28,E28="A",AY28*AK28-AV28)</f>
        <v>1.0054173850169157E-2</v>
      </c>
      <c r="BA28">
        <f t="shared" si="9"/>
        <v>0.42306672969065562</v>
      </c>
    </row>
    <row r="29" spans="1:53" x14ac:dyDescent="0.2">
      <c r="A29">
        <v>10</v>
      </c>
      <c r="B29" t="s">
        <v>47</v>
      </c>
      <c r="C29" s="1">
        <v>43770</v>
      </c>
      <c r="D29" t="s">
        <v>169</v>
      </c>
      <c r="E29" t="s">
        <v>49</v>
      </c>
      <c r="F29" t="s">
        <v>138</v>
      </c>
      <c r="G29" t="s">
        <v>118</v>
      </c>
      <c r="H29">
        <v>23629</v>
      </c>
      <c r="I29" t="s">
        <v>139</v>
      </c>
      <c r="J29" t="s">
        <v>150</v>
      </c>
      <c r="K29" t="s">
        <v>54</v>
      </c>
      <c r="L29">
        <v>2019</v>
      </c>
      <c r="M29">
        <v>1.5</v>
      </c>
      <c r="N29">
        <v>1.25</v>
      </c>
      <c r="O29">
        <v>0.25</v>
      </c>
      <c r="P29">
        <v>1</v>
      </c>
      <c r="Q29">
        <v>1.4</v>
      </c>
      <c r="R29">
        <v>4.75</v>
      </c>
      <c r="S29">
        <v>7</v>
      </c>
      <c r="T29">
        <v>1.45</v>
      </c>
      <c r="U29">
        <v>4.75</v>
      </c>
      <c r="V29">
        <v>6.5</v>
      </c>
      <c r="W29">
        <v>1.45</v>
      </c>
      <c r="X29">
        <v>4.75</v>
      </c>
      <c r="Y29">
        <v>6.5</v>
      </c>
      <c r="Z29">
        <v>1.45</v>
      </c>
      <c r="AA29">
        <v>5.16</v>
      </c>
      <c r="AB29">
        <v>6.54</v>
      </c>
      <c r="AC29">
        <v>1.42</v>
      </c>
      <c r="AD29">
        <v>5</v>
      </c>
      <c r="AE29">
        <v>7</v>
      </c>
      <c r="AF29">
        <v>1.44</v>
      </c>
      <c r="AG29">
        <v>5</v>
      </c>
      <c r="AH29">
        <v>6.5</v>
      </c>
      <c r="AI29">
        <v>1.5</v>
      </c>
      <c r="AJ29">
        <v>5.25</v>
      </c>
      <c r="AK29">
        <v>7.15</v>
      </c>
      <c r="AL29">
        <v>1.44</v>
      </c>
      <c r="AM29">
        <v>4.9400000000000004</v>
      </c>
      <c r="AN29">
        <v>6.59</v>
      </c>
      <c r="AO29">
        <v>1</v>
      </c>
      <c r="AP29">
        <v>0.66867067468269803</v>
      </c>
      <c r="AQ29">
        <v>0.19104876419505601</v>
      </c>
      <c r="AR29">
        <v>0.14028056112224399</v>
      </c>
      <c r="AS29">
        <v>1</v>
      </c>
      <c r="AT29">
        <v>3.0060120240482601E-3</v>
      </c>
      <c r="AU29">
        <v>0.21102199356040599</v>
      </c>
      <c r="AV29">
        <f t="shared" si="5"/>
        <v>5.9346006845762913</v>
      </c>
      <c r="AW29">
        <f t="shared" si="6"/>
        <v>3.9682934437280348</v>
      </c>
      <c r="AX29">
        <f t="shared" si="7"/>
        <v>1.1337981267794384</v>
      </c>
      <c r="AY29">
        <f t="shared" si="8"/>
        <v>0.83250911406881845</v>
      </c>
      <c r="AZ29" cm="1">
        <f t="array" ref="AZ29">_xlfn.IFS(E29="H",AW29*AI29-AV29,E29="D",AX29*AJ29-AV29,E29="A",AY29*AK29-AV29)</f>
        <v>1.7839481015760938E-2</v>
      </c>
      <c r="BA29">
        <f t="shared" si="9"/>
        <v>0.44090621070641656</v>
      </c>
    </row>
    <row r="30" spans="1:53" x14ac:dyDescent="0.2">
      <c r="A30">
        <v>10</v>
      </c>
      <c r="B30" t="s">
        <v>55</v>
      </c>
      <c r="C30" s="1">
        <v>43771</v>
      </c>
      <c r="D30" t="s">
        <v>170</v>
      </c>
      <c r="E30" t="s">
        <v>57</v>
      </c>
      <c r="F30" t="s">
        <v>171</v>
      </c>
      <c r="G30" t="s">
        <v>172</v>
      </c>
      <c r="H30">
        <v>41000</v>
      </c>
      <c r="I30" t="s">
        <v>173</v>
      </c>
      <c r="J30" t="s">
        <v>174</v>
      </c>
      <c r="K30" t="s">
        <v>54</v>
      </c>
      <c r="L30">
        <v>2019</v>
      </c>
      <c r="M30">
        <v>1</v>
      </c>
      <c r="N30">
        <v>1.25</v>
      </c>
      <c r="O30">
        <v>2.25</v>
      </c>
      <c r="P30">
        <v>2</v>
      </c>
      <c r="Q30">
        <v>1.85</v>
      </c>
      <c r="R30">
        <v>3.8</v>
      </c>
      <c r="S30">
        <v>3.8</v>
      </c>
      <c r="T30">
        <v>1.95</v>
      </c>
      <c r="U30">
        <v>3.7</v>
      </c>
      <c r="V30">
        <v>3.7</v>
      </c>
      <c r="W30">
        <v>2.1</v>
      </c>
      <c r="X30">
        <v>3.5</v>
      </c>
      <c r="Y30">
        <v>3.4</v>
      </c>
      <c r="Z30">
        <v>1.95</v>
      </c>
      <c r="AA30">
        <v>3.87</v>
      </c>
      <c r="AB30">
        <v>3.89</v>
      </c>
      <c r="AC30">
        <v>1.95</v>
      </c>
      <c r="AD30">
        <v>3.7</v>
      </c>
      <c r="AE30">
        <v>3.8</v>
      </c>
      <c r="AF30">
        <v>1.95</v>
      </c>
      <c r="AG30">
        <v>3.8</v>
      </c>
      <c r="AH30">
        <v>3.7</v>
      </c>
      <c r="AI30">
        <v>2.1</v>
      </c>
      <c r="AJ30">
        <v>3.9</v>
      </c>
      <c r="AK30">
        <v>3.98</v>
      </c>
      <c r="AL30">
        <v>1.95</v>
      </c>
      <c r="AM30">
        <v>3.73</v>
      </c>
      <c r="AN30">
        <v>3.74</v>
      </c>
      <c r="AO30">
        <v>1</v>
      </c>
      <c r="AP30">
        <v>0.48400374181478001</v>
      </c>
      <c r="AQ30">
        <v>0.26061739943872703</v>
      </c>
      <c r="AR30">
        <v>0.25537885874649202</v>
      </c>
      <c r="AS30">
        <v>1</v>
      </c>
      <c r="AT30">
        <v>1.6407857811038401E-2</v>
      </c>
      <c r="AU30">
        <v>0.227429851371445</v>
      </c>
      <c r="AV30">
        <f t="shared" si="5"/>
        <v>6.3755068952827081</v>
      </c>
      <c r="AW30">
        <f t="shared" si="6"/>
        <v>3.0857691932827622</v>
      </c>
      <c r="AX30">
        <f t="shared" si="7"/>
        <v>1.661568027152257</v>
      </c>
      <c r="AY30">
        <f t="shared" si="8"/>
        <v>1.6281696748476888</v>
      </c>
      <c r="AZ30" cm="1">
        <f t="array" ref="AZ30">_xlfn.IFS(E30="H",AW30*AI30-AV30,E30="D",AX30*AJ30-AV30,E30="A",AY30*AK30-AV30)</f>
        <v>0.10460841061109427</v>
      </c>
      <c r="BA30">
        <f t="shared" si="9"/>
        <v>0.54551462131751083</v>
      </c>
    </row>
    <row r="31" spans="1:53" x14ac:dyDescent="0.2">
      <c r="A31">
        <v>12</v>
      </c>
      <c r="B31" t="s">
        <v>55</v>
      </c>
      <c r="C31" s="1">
        <v>43771</v>
      </c>
      <c r="D31" t="s">
        <v>151</v>
      </c>
      <c r="E31" t="s">
        <v>74</v>
      </c>
      <c r="F31" t="s">
        <v>175</v>
      </c>
      <c r="G31" t="s">
        <v>50</v>
      </c>
      <c r="H31">
        <v>16225</v>
      </c>
      <c r="I31" t="s">
        <v>176</v>
      </c>
      <c r="J31" t="s">
        <v>177</v>
      </c>
      <c r="K31" t="s">
        <v>54</v>
      </c>
      <c r="L31">
        <v>2019</v>
      </c>
      <c r="M31">
        <v>1.5</v>
      </c>
      <c r="N31">
        <v>1.25</v>
      </c>
      <c r="O31">
        <v>0.5</v>
      </c>
      <c r="P31">
        <v>1</v>
      </c>
      <c r="Q31">
        <v>5</v>
      </c>
      <c r="R31">
        <v>3.6</v>
      </c>
      <c r="S31">
        <v>1.75</v>
      </c>
      <c r="T31">
        <v>4.5</v>
      </c>
      <c r="U31">
        <v>3.75</v>
      </c>
      <c r="V31">
        <v>1.78</v>
      </c>
      <c r="W31">
        <v>4.3499999999999996</v>
      </c>
      <c r="X31">
        <v>3.85</v>
      </c>
      <c r="Y31">
        <v>1.77</v>
      </c>
      <c r="Z31">
        <v>4.5</v>
      </c>
      <c r="AA31">
        <v>3.81</v>
      </c>
      <c r="AB31">
        <v>1.83</v>
      </c>
      <c r="AC31">
        <v>4.33</v>
      </c>
      <c r="AD31">
        <v>3.75</v>
      </c>
      <c r="AE31">
        <v>1.78</v>
      </c>
      <c r="AF31">
        <v>4.4000000000000004</v>
      </c>
      <c r="AG31">
        <v>3.8</v>
      </c>
      <c r="AH31">
        <v>1.75</v>
      </c>
      <c r="AI31">
        <v>5</v>
      </c>
      <c r="AJ31">
        <v>3.92</v>
      </c>
      <c r="AK31">
        <v>1.84</v>
      </c>
      <c r="AL31">
        <v>4.42</v>
      </c>
      <c r="AM31">
        <v>3.77</v>
      </c>
      <c r="AN31">
        <v>1.79</v>
      </c>
      <c r="AO31">
        <v>1</v>
      </c>
      <c r="AP31">
        <v>0.200284343344588</v>
      </c>
      <c r="AQ31">
        <v>0.25546472365381201</v>
      </c>
      <c r="AR31">
        <v>0.54425093300159899</v>
      </c>
      <c r="AS31">
        <v>1</v>
      </c>
      <c r="AT31">
        <v>1.4217167229431101E-3</v>
      </c>
      <c r="AU31">
        <v>0.228851568094388</v>
      </c>
      <c r="AV31">
        <f t="shared" si="5"/>
        <v>6.9210215166002191</v>
      </c>
      <c r="AW31">
        <f t="shared" si="6"/>
        <v>1.3861722497260436</v>
      </c>
      <c r="AX31">
        <f t="shared" si="7"/>
        <v>1.7680768491403618</v>
      </c>
      <c r="AY31">
        <f t="shared" si="8"/>
        <v>3.7667724177338142</v>
      </c>
      <c r="AZ31" cm="1">
        <f t="array" ref="AZ31">_xlfn.IFS(E31="H",AW31*AI31-AV31,E31="D",AX31*AJ31-AV31,E31="A",AY31*AK31-AV31)</f>
        <v>9.8397320299996593E-3</v>
      </c>
      <c r="BA31">
        <f t="shared" si="9"/>
        <v>0.55535435334751049</v>
      </c>
    </row>
    <row r="32" spans="1:53" x14ac:dyDescent="0.2">
      <c r="A32">
        <v>12</v>
      </c>
      <c r="B32" t="s">
        <v>55</v>
      </c>
      <c r="C32" s="1">
        <v>43778</v>
      </c>
      <c r="D32" t="s">
        <v>99</v>
      </c>
      <c r="E32" t="s">
        <v>49</v>
      </c>
      <c r="F32" t="s">
        <v>153</v>
      </c>
      <c r="G32" t="s">
        <v>178</v>
      </c>
      <c r="H32">
        <v>32209</v>
      </c>
      <c r="I32" t="s">
        <v>179</v>
      </c>
      <c r="J32" t="s">
        <v>180</v>
      </c>
      <c r="K32" t="s">
        <v>54</v>
      </c>
      <c r="L32">
        <v>2019</v>
      </c>
      <c r="M32">
        <v>3</v>
      </c>
      <c r="N32">
        <v>3</v>
      </c>
      <c r="O32">
        <v>0.5</v>
      </c>
      <c r="P32">
        <v>1</v>
      </c>
      <c r="Q32">
        <v>2</v>
      </c>
      <c r="R32">
        <v>3.75</v>
      </c>
      <c r="S32">
        <v>3.5</v>
      </c>
      <c r="T32">
        <v>2</v>
      </c>
      <c r="U32">
        <v>3.8</v>
      </c>
      <c r="V32">
        <v>3.5</v>
      </c>
      <c r="W32">
        <v>1.97</v>
      </c>
      <c r="X32">
        <v>3.75</v>
      </c>
      <c r="Y32">
        <v>3.6</v>
      </c>
      <c r="Z32">
        <v>1.98</v>
      </c>
      <c r="AA32">
        <v>3.91</v>
      </c>
      <c r="AB32">
        <v>3.79</v>
      </c>
      <c r="AC32">
        <v>1.95</v>
      </c>
      <c r="AD32">
        <v>3.7</v>
      </c>
      <c r="AE32">
        <v>3.7</v>
      </c>
      <c r="AF32">
        <v>1.95</v>
      </c>
      <c r="AG32">
        <v>3.8</v>
      </c>
      <c r="AH32">
        <v>3.7</v>
      </c>
      <c r="AI32">
        <v>2.08</v>
      </c>
      <c r="AJ32">
        <v>3.98</v>
      </c>
      <c r="AK32">
        <v>3.8</v>
      </c>
      <c r="AL32">
        <v>1.99</v>
      </c>
      <c r="AM32">
        <v>3.78</v>
      </c>
      <c r="AN32">
        <v>3.62</v>
      </c>
      <c r="AO32">
        <v>1</v>
      </c>
      <c r="AP32">
        <v>0.48309610814402099</v>
      </c>
      <c r="AQ32">
        <v>0.25247233792451301</v>
      </c>
      <c r="AR32">
        <v>0.264431553931464</v>
      </c>
      <c r="AS32">
        <v>1</v>
      </c>
      <c r="AT32">
        <v>4.8399049395650897E-3</v>
      </c>
      <c r="AU32">
        <v>0.23369147303395299</v>
      </c>
      <c r="AV32">
        <f t="shared" si="5"/>
        <v>7.4763758699477298</v>
      </c>
      <c r="AW32">
        <f t="shared" si="6"/>
        <v>3.6118080857936228</v>
      </c>
      <c r="AX32">
        <f t="shared" si="7"/>
        <v>1.8875780950881245</v>
      </c>
      <c r="AY32">
        <f t="shared" si="8"/>
        <v>1.976989689065983</v>
      </c>
      <c r="AZ32" cm="1">
        <f t="array" ref="AZ32">_xlfn.IFS(E32="H",AW32*AI32-AV32,E32="D",AX32*AJ32-AV32,E32="A",AY32*AK32-AV32)</f>
        <v>3.6184948503005465E-2</v>
      </c>
      <c r="BA32">
        <f t="shared" si="9"/>
        <v>0.59153930185051595</v>
      </c>
    </row>
    <row r="33" spans="1:53" x14ac:dyDescent="0.2">
      <c r="A33">
        <v>12</v>
      </c>
      <c r="B33" t="s">
        <v>67</v>
      </c>
      <c r="C33" s="1">
        <v>43779</v>
      </c>
      <c r="D33" t="s">
        <v>121</v>
      </c>
      <c r="E33" t="s">
        <v>49</v>
      </c>
      <c r="F33" t="s">
        <v>141</v>
      </c>
      <c r="G33" t="s">
        <v>181</v>
      </c>
      <c r="H33">
        <v>16316</v>
      </c>
      <c r="I33" t="s">
        <v>143</v>
      </c>
      <c r="J33" t="s">
        <v>182</v>
      </c>
      <c r="K33" t="s">
        <v>54</v>
      </c>
      <c r="L33">
        <v>2019</v>
      </c>
      <c r="M33">
        <v>2.5</v>
      </c>
      <c r="N33">
        <v>2.25</v>
      </c>
      <c r="O33">
        <v>2</v>
      </c>
      <c r="P33">
        <v>1.75</v>
      </c>
      <c r="Q33">
        <v>2.9</v>
      </c>
      <c r="R33">
        <v>3.4</v>
      </c>
      <c r="S33">
        <v>2.37</v>
      </c>
      <c r="T33">
        <v>2.9</v>
      </c>
      <c r="U33">
        <v>3.4</v>
      </c>
      <c r="V33">
        <v>2.4500000000000002</v>
      </c>
      <c r="W33">
        <v>2.85</v>
      </c>
      <c r="X33">
        <v>3.3</v>
      </c>
      <c r="Y33">
        <v>2.5</v>
      </c>
      <c r="Z33">
        <v>2.88</v>
      </c>
      <c r="AA33">
        <v>3.34</v>
      </c>
      <c r="AB33">
        <v>2.61</v>
      </c>
      <c r="AC33">
        <v>2.8</v>
      </c>
      <c r="AD33">
        <v>3.3</v>
      </c>
      <c r="AE33">
        <v>2.5</v>
      </c>
      <c r="AF33">
        <v>2.88</v>
      </c>
      <c r="AG33">
        <v>3.1</v>
      </c>
      <c r="AH33">
        <v>2.5</v>
      </c>
      <c r="AI33">
        <v>3.15</v>
      </c>
      <c r="AJ33">
        <v>3.47</v>
      </c>
      <c r="AK33">
        <v>2.61</v>
      </c>
      <c r="AL33">
        <v>2.86</v>
      </c>
      <c r="AM33">
        <v>3.32</v>
      </c>
      <c r="AN33">
        <v>2.5</v>
      </c>
      <c r="AO33">
        <v>1</v>
      </c>
      <c r="AP33">
        <v>0.32106052388092998</v>
      </c>
      <c r="AQ33">
        <v>0.29145263695242901</v>
      </c>
      <c r="AR33">
        <v>0.38748683916664001</v>
      </c>
      <c r="AS33">
        <v>1</v>
      </c>
      <c r="AT33">
        <v>1.13406502249304E-2</v>
      </c>
      <c r="AU33">
        <v>0.24503212325888299</v>
      </c>
      <c r="AV33">
        <f t="shared" si="5"/>
        <v>8.067915171798246</v>
      </c>
      <c r="AW33">
        <f t="shared" si="6"/>
        <v>2.5902890716844511</v>
      </c>
      <c r="AX33">
        <f t="shared" si="7"/>
        <v>2.3514151515291126</v>
      </c>
      <c r="AY33">
        <f t="shared" si="8"/>
        <v>3.1262109485846827</v>
      </c>
      <c r="AZ33" cm="1">
        <f t="array" ref="AZ33">_xlfn.IFS(E33="H",AW33*AI33-AV33,E33="D",AX33*AJ33-AV33,E33="A",AY33*AK33-AV33)</f>
        <v>9.1495404007774894E-2</v>
      </c>
      <c r="BA33">
        <f t="shared" si="9"/>
        <v>0.68303470585829085</v>
      </c>
    </row>
    <row r="34" spans="1:53" x14ac:dyDescent="0.2">
      <c r="A34">
        <v>12</v>
      </c>
      <c r="B34" t="s">
        <v>67</v>
      </c>
      <c r="C34" s="1">
        <v>43779</v>
      </c>
      <c r="D34" t="s">
        <v>183</v>
      </c>
      <c r="E34" t="s">
        <v>49</v>
      </c>
      <c r="F34" t="s">
        <v>184</v>
      </c>
      <c r="G34" t="s">
        <v>185</v>
      </c>
      <c r="H34">
        <v>35000</v>
      </c>
      <c r="I34" t="s">
        <v>110</v>
      </c>
      <c r="J34" t="s">
        <v>186</v>
      </c>
      <c r="K34" t="s">
        <v>54</v>
      </c>
      <c r="L34">
        <v>2019</v>
      </c>
      <c r="M34">
        <v>2.5</v>
      </c>
      <c r="N34">
        <v>3.25</v>
      </c>
      <c r="O34">
        <v>1.25</v>
      </c>
      <c r="P34">
        <v>1.75</v>
      </c>
      <c r="Q34">
        <v>1.25</v>
      </c>
      <c r="R34">
        <v>6.5</v>
      </c>
      <c r="S34">
        <v>11</v>
      </c>
      <c r="T34">
        <v>1.22</v>
      </c>
      <c r="U34">
        <v>6.75</v>
      </c>
      <c r="V34">
        <v>11.5</v>
      </c>
      <c r="W34">
        <v>1.25</v>
      </c>
      <c r="X34">
        <v>6.4</v>
      </c>
      <c r="Y34">
        <v>10.5</v>
      </c>
      <c r="Z34">
        <v>1.26</v>
      </c>
      <c r="AA34">
        <v>6.36</v>
      </c>
      <c r="AB34">
        <v>11.8</v>
      </c>
      <c r="AC34">
        <v>1.24</v>
      </c>
      <c r="AD34">
        <v>6</v>
      </c>
      <c r="AE34">
        <v>11</v>
      </c>
      <c r="AF34">
        <v>1.2</v>
      </c>
      <c r="AG34">
        <v>6.5</v>
      </c>
      <c r="AH34">
        <v>12</v>
      </c>
      <c r="AI34">
        <v>1.3</v>
      </c>
      <c r="AJ34">
        <v>7</v>
      </c>
      <c r="AK34">
        <v>13</v>
      </c>
      <c r="AL34">
        <v>1.24</v>
      </c>
      <c r="AM34">
        <v>6.45</v>
      </c>
      <c r="AN34">
        <v>11.03</v>
      </c>
      <c r="AO34">
        <v>1</v>
      </c>
      <c r="AP34">
        <v>0.77777777777777701</v>
      </c>
      <c r="AQ34">
        <v>0.14444444444444399</v>
      </c>
      <c r="AR34">
        <v>7.7777777777777696E-2</v>
      </c>
      <c r="AS34">
        <v>1</v>
      </c>
      <c r="AT34">
        <v>1.1111111111111001E-2</v>
      </c>
      <c r="AU34">
        <v>0.25614323436999398</v>
      </c>
      <c r="AV34">
        <f t="shared" si="5"/>
        <v>8.7509498776565362</v>
      </c>
      <c r="AW34">
        <f t="shared" si="6"/>
        <v>6.8062943492884163</v>
      </c>
      <c r="AX34">
        <f t="shared" si="7"/>
        <v>1.2640260934392775</v>
      </c>
      <c r="AY34">
        <f t="shared" si="8"/>
        <v>0.68062943492884165</v>
      </c>
      <c r="AZ34" cm="1">
        <f t="array" ref="AZ34">_xlfn.IFS(E34="H",AW34*AI34-AV34,E34="D",AX34*AJ34-AV34,E34="A",AY34*AK34-AV34)</f>
        <v>9.7232776418405109E-2</v>
      </c>
      <c r="BA34">
        <f t="shared" si="9"/>
        <v>0.78026748227669596</v>
      </c>
    </row>
    <row r="35" spans="1:53" x14ac:dyDescent="0.2">
      <c r="A35">
        <v>12</v>
      </c>
      <c r="B35" t="s">
        <v>67</v>
      </c>
      <c r="C35" s="1">
        <v>43779</v>
      </c>
      <c r="D35" t="s">
        <v>107</v>
      </c>
      <c r="E35" t="s">
        <v>49</v>
      </c>
      <c r="F35" t="s">
        <v>187</v>
      </c>
      <c r="G35" t="s">
        <v>108</v>
      </c>
      <c r="H35">
        <v>18532</v>
      </c>
      <c r="I35" t="s">
        <v>188</v>
      </c>
      <c r="J35" t="s">
        <v>189</v>
      </c>
      <c r="K35" t="s">
        <v>54</v>
      </c>
      <c r="L35">
        <v>2019</v>
      </c>
      <c r="M35">
        <v>2.25</v>
      </c>
      <c r="N35">
        <v>2.25</v>
      </c>
      <c r="O35">
        <v>2.5</v>
      </c>
      <c r="P35">
        <v>1.75</v>
      </c>
      <c r="Q35">
        <v>4</v>
      </c>
      <c r="R35">
        <v>3.6</v>
      </c>
      <c r="S35">
        <v>1.9</v>
      </c>
      <c r="T35">
        <v>4</v>
      </c>
      <c r="U35">
        <v>3.7</v>
      </c>
      <c r="V35">
        <v>1.9</v>
      </c>
      <c r="W35">
        <v>3.9</v>
      </c>
      <c r="X35">
        <v>3.75</v>
      </c>
      <c r="Y35">
        <v>1.9</v>
      </c>
      <c r="Z35">
        <v>4.17</v>
      </c>
      <c r="AA35">
        <v>3.94</v>
      </c>
      <c r="AB35">
        <v>1.87</v>
      </c>
      <c r="AC35">
        <v>3.9</v>
      </c>
      <c r="AD35">
        <v>3.75</v>
      </c>
      <c r="AE35">
        <v>1.85</v>
      </c>
      <c r="AF35">
        <v>4.0999999999999996</v>
      </c>
      <c r="AG35">
        <v>3.5</v>
      </c>
      <c r="AH35">
        <v>1.85</v>
      </c>
      <c r="AI35">
        <v>4.3</v>
      </c>
      <c r="AJ35">
        <v>3.94</v>
      </c>
      <c r="AK35">
        <v>1.97</v>
      </c>
      <c r="AL35">
        <v>3.97</v>
      </c>
      <c r="AM35">
        <v>3.72</v>
      </c>
      <c r="AN35">
        <v>1.89</v>
      </c>
      <c r="AO35">
        <v>1</v>
      </c>
      <c r="AP35">
        <v>0.23396674584322999</v>
      </c>
      <c r="AQ35">
        <v>0.25534441805225599</v>
      </c>
      <c r="AR35">
        <v>0.51068883610451299</v>
      </c>
      <c r="AS35">
        <v>1</v>
      </c>
      <c r="AT35">
        <v>6.0570071258907402E-3</v>
      </c>
      <c r="AU35">
        <v>0.262200241495885</v>
      </c>
      <c r="AV35">
        <f t="shared" si="5"/>
        <v>9.5312173599332315</v>
      </c>
      <c r="AW35">
        <f t="shared" si="6"/>
        <v>2.2299879096280839</v>
      </c>
      <c r="AX35">
        <f t="shared" si="7"/>
        <v>2.4337431501017157</v>
      </c>
      <c r="AY35">
        <f t="shared" si="8"/>
        <v>4.8674863002034314</v>
      </c>
      <c r="AZ35" cm="1">
        <f t="array" ref="AZ35">_xlfn.IFS(E35="H",AW35*AI35-AV35,E35="D",AX35*AJ35-AV35,E35="A",AY35*AK35-AV35)</f>
        <v>5.7730651467528205E-2</v>
      </c>
      <c r="BA35">
        <f t="shared" si="9"/>
        <v>0.83799813374422416</v>
      </c>
    </row>
    <row r="36" spans="1:53" x14ac:dyDescent="0.2">
      <c r="A36">
        <v>13</v>
      </c>
      <c r="B36" t="s">
        <v>55</v>
      </c>
      <c r="C36" s="1">
        <v>43799</v>
      </c>
      <c r="D36" t="s">
        <v>190</v>
      </c>
      <c r="E36" t="s">
        <v>74</v>
      </c>
      <c r="F36" t="s">
        <v>191</v>
      </c>
      <c r="G36" t="s">
        <v>192</v>
      </c>
      <c r="H36">
        <v>75000</v>
      </c>
      <c r="I36" t="s">
        <v>193</v>
      </c>
      <c r="J36" t="s">
        <v>194</v>
      </c>
      <c r="K36" t="s">
        <v>54</v>
      </c>
      <c r="L36">
        <v>2019</v>
      </c>
      <c r="M36">
        <v>2.25</v>
      </c>
      <c r="N36">
        <v>2.75</v>
      </c>
      <c r="O36">
        <v>1.5</v>
      </c>
      <c r="P36">
        <v>1.25</v>
      </c>
      <c r="Q36">
        <v>1.28</v>
      </c>
      <c r="R36">
        <v>6</v>
      </c>
      <c r="S36">
        <v>8.5</v>
      </c>
      <c r="T36">
        <v>1.3</v>
      </c>
      <c r="U36">
        <v>5.75</v>
      </c>
      <c r="V36">
        <v>9</v>
      </c>
      <c r="W36">
        <v>1.3</v>
      </c>
      <c r="X36">
        <v>6</v>
      </c>
      <c r="Y36">
        <v>8.6999999999999993</v>
      </c>
      <c r="Z36">
        <v>1.29</v>
      </c>
      <c r="AA36">
        <v>6</v>
      </c>
      <c r="AB36">
        <v>9.85</v>
      </c>
      <c r="AC36">
        <v>1.27</v>
      </c>
      <c r="AD36">
        <v>6</v>
      </c>
      <c r="AE36">
        <v>10</v>
      </c>
      <c r="AF36">
        <v>1.3</v>
      </c>
      <c r="AG36">
        <v>6</v>
      </c>
      <c r="AH36">
        <v>9.5</v>
      </c>
      <c r="AI36">
        <v>1.32</v>
      </c>
      <c r="AJ36">
        <v>6.63</v>
      </c>
      <c r="AK36">
        <v>11</v>
      </c>
      <c r="AL36">
        <v>1.29</v>
      </c>
      <c r="AM36">
        <v>6.04</v>
      </c>
      <c r="AN36">
        <v>9.3699999999999992</v>
      </c>
      <c r="AO36">
        <v>1</v>
      </c>
      <c r="AP36">
        <v>0.75809549945115196</v>
      </c>
      <c r="AQ36">
        <v>0.150933040614709</v>
      </c>
      <c r="AR36">
        <v>9.0971459934138299E-2</v>
      </c>
      <c r="AS36">
        <v>1</v>
      </c>
      <c r="AT36" s="2">
        <v>6.86059275521566E-4</v>
      </c>
      <c r="AU36">
        <v>0.26288630077140701</v>
      </c>
      <c r="AV36">
        <f t="shared" si="5"/>
        <v>10.369215493677455</v>
      </c>
      <c r="AW36">
        <f t="shared" si="6"/>
        <v>7.8608555985960393</v>
      </c>
      <c r="AX36">
        <f t="shared" si="7"/>
        <v>1.5650572232498905</v>
      </c>
      <c r="AY36">
        <f t="shared" si="8"/>
        <v>0.94330267183152494</v>
      </c>
      <c r="AZ36" cm="1">
        <f t="array" ref="AZ36">_xlfn.IFS(E36="H",AW36*AI36-AV36,E36="D",AX36*AJ36-AV36,E36="A",AY36*AK36-AV36)</f>
        <v>7.1138964693187035E-3</v>
      </c>
      <c r="BA36">
        <f t="shared" si="9"/>
        <v>0.84511203021354286</v>
      </c>
    </row>
    <row r="37" spans="1:53" x14ac:dyDescent="0.2">
      <c r="A37">
        <v>14</v>
      </c>
      <c r="B37" t="s">
        <v>55</v>
      </c>
      <c r="C37" s="1">
        <v>43799</v>
      </c>
      <c r="D37" t="s">
        <v>183</v>
      </c>
      <c r="E37" t="s">
        <v>74</v>
      </c>
      <c r="F37" t="s">
        <v>131</v>
      </c>
      <c r="G37" t="s">
        <v>195</v>
      </c>
      <c r="H37">
        <v>14000</v>
      </c>
      <c r="I37" t="s">
        <v>133</v>
      </c>
      <c r="J37" t="s">
        <v>196</v>
      </c>
      <c r="K37" t="s">
        <v>54</v>
      </c>
      <c r="L37">
        <v>2019</v>
      </c>
      <c r="M37">
        <v>0.25</v>
      </c>
      <c r="N37">
        <v>0.5</v>
      </c>
      <c r="O37">
        <v>1.5</v>
      </c>
      <c r="P37">
        <v>2.25</v>
      </c>
      <c r="Q37">
        <v>6.5</v>
      </c>
      <c r="R37">
        <v>4.5</v>
      </c>
      <c r="S37">
        <v>1.5</v>
      </c>
      <c r="T37">
        <v>6.5</v>
      </c>
      <c r="U37">
        <v>4.75</v>
      </c>
      <c r="V37">
        <v>1.45</v>
      </c>
      <c r="W37">
        <v>6.5</v>
      </c>
      <c r="X37">
        <v>4.3</v>
      </c>
      <c r="Y37">
        <v>1.5</v>
      </c>
      <c r="Z37">
        <v>6.6</v>
      </c>
      <c r="AA37">
        <v>4.83</v>
      </c>
      <c r="AB37">
        <v>1.48</v>
      </c>
      <c r="AC37">
        <v>7</v>
      </c>
      <c r="AD37">
        <v>4.5999999999999996</v>
      </c>
      <c r="AE37">
        <v>1.42</v>
      </c>
      <c r="AF37">
        <v>7.5</v>
      </c>
      <c r="AG37">
        <v>4.5999999999999996</v>
      </c>
      <c r="AH37">
        <v>1.44</v>
      </c>
      <c r="AI37">
        <v>7.5</v>
      </c>
      <c r="AJ37">
        <v>4.9000000000000004</v>
      </c>
      <c r="AK37">
        <v>1.55</v>
      </c>
      <c r="AL37">
        <v>6.47</v>
      </c>
      <c r="AM37">
        <v>4.66</v>
      </c>
      <c r="AN37">
        <v>1.47</v>
      </c>
      <c r="AO37">
        <v>1</v>
      </c>
      <c r="AP37">
        <v>0.135697695193853</v>
      </c>
      <c r="AQ37">
        <v>0.20770055386814301</v>
      </c>
      <c r="AR37">
        <v>0.65660175093800199</v>
      </c>
      <c r="AS37">
        <v>1</v>
      </c>
      <c r="AT37">
        <v>1.7732713953904002E-2</v>
      </c>
      <c r="AU37">
        <v>0.28061901472531098</v>
      </c>
      <c r="AV37">
        <f t="shared" si="5"/>
        <v>11.214327523890997</v>
      </c>
      <c r="AW37">
        <f t="shared" si="6"/>
        <v>1.5217583981410063</v>
      </c>
      <c r="AX37">
        <f t="shared" si="7"/>
        <v>2.3292220379709283</v>
      </c>
      <c r="AY37">
        <f t="shared" si="8"/>
        <v>7.3633470877790632</v>
      </c>
      <c r="AZ37" cm="1">
        <f t="array" ref="AZ37">_xlfn.IFS(E37="H",AW37*AI37-AV37,E37="D",AX37*AJ37-AV37,E37="A",AY37*AK37-AV37)</f>
        <v>0.19886046216655195</v>
      </c>
      <c r="BA37">
        <f t="shared" si="9"/>
        <v>1.0439724923800948</v>
      </c>
    </row>
    <row r="38" spans="1:53" x14ac:dyDescent="0.2">
      <c r="A38">
        <v>13</v>
      </c>
      <c r="B38" t="s">
        <v>67</v>
      </c>
      <c r="C38" s="1">
        <v>43800</v>
      </c>
      <c r="D38" t="s">
        <v>73</v>
      </c>
      <c r="E38" t="s">
        <v>49</v>
      </c>
      <c r="F38" t="s">
        <v>76</v>
      </c>
      <c r="G38" t="s">
        <v>172</v>
      </c>
      <c r="H38">
        <v>51080</v>
      </c>
      <c r="I38" t="s">
        <v>149</v>
      </c>
      <c r="J38" t="s">
        <v>197</v>
      </c>
      <c r="K38" t="s">
        <v>54</v>
      </c>
      <c r="L38">
        <v>2019</v>
      </c>
      <c r="M38">
        <v>3</v>
      </c>
      <c r="N38">
        <v>3.5</v>
      </c>
      <c r="O38">
        <v>1.25</v>
      </c>
      <c r="P38">
        <v>1.25</v>
      </c>
      <c r="Q38">
        <v>1.53</v>
      </c>
      <c r="R38">
        <v>4.2</v>
      </c>
      <c r="S38">
        <v>6</v>
      </c>
      <c r="T38">
        <v>1.57</v>
      </c>
      <c r="U38">
        <v>4.33</v>
      </c>
      <c r="V38">
        <v>5.5</v>
      </c>
      <c r="W38">
        <v>1.57</v>
      </c>
      <c r="X38">
        <v>4.4000000000000004</v>
      </c>
      <c r="Y38">
        <v>5.5</v>
      </c>
      <c r="Z38">
        <v>1.58</v>
      </c>
      <c r="AA38">
        <v>4.5599999999999996</v>
      </c>
      <c r="AB38">
        <v>5.58</v>
      </c>
      <c r="AC38">
        <v>1.57</v>
      </c>
      <c r="AD38">
        <v>4.33</v>
      </c>
      <c r="AE38">
        <v>5.5</v>
      </c>
      <c r="AF38">
        <v>1.53</v>
      </c>
      <c r="AG38">
        <v>4.4000000000000004</v>
      </c>
      <c r="AH38">
        <v>5.2</v>
      </c>
      <c r="AI38">
        <v>1.63</v>
      </c>
      <c r="AJ38">
        <v>4.6500000000000004</v>
      </c>
      <c r="AK38">
        <v>6</v>
      </c>
      <c r="AL38">
        <v>1.56</v>
      </c>
      <c r="AM38">
        <v>4.41</v>
      </c>
      <c r="AN38">
        <v>5.44</v>
      </c>
      <c r="AO38">
        <v>1</v>
      </c>
      <c r="AP38">
        <v>0.616445166208199</v>
      </c>
      <c r="AQ38">
        <v>0.21608723030523899</v>
      </c>
      <c r="AR38">
        <v>0.16746760348656001</v>
      </c>
      <c r="AS38">
        <v>1</v>
      </c>
      <c r="AT38">
        <v>4.8056209193647597E-3</v>
      </c>
      <c r="AU38">
        <v>0.28542463564467502</v>
      </c>
      <c r="AV38">
        <f t="shared" si="5"/>
        <v>12.258300016271091</v>
      </c>
      <c r="AW38">
        <f t="shared" si="6"/>
        <v>7.5565697909602054</v>
      </c>
      <c r="AX38">
        <f t="shared" si="7"/>
        <v>2.6488620987666955</v>
      </c>
      <c r="AY38">
        <f t="shared" si="8"/>
        <v>2.0528681265441895</v>
      </c>
      <c r="AZ38" cm="1">
        <f t="array" ref="AZ38">_xlfn.IFS(E38="H",AW38*AI38-AV38,E38="D",AX38*AJ38-AV38,E38="A",AY38*AK38-AV38)</f>
        <v>5.8908742994042029E-2</v>
      </c>
      <c r="BA38">
        <f t="shared" si="9"/>
        <v>1.1028812353741368</v>
      </c>
    </row>
    <row r="39" spans="1:53" x14ac:dyDescent="0.2">
      <c r="A39">
        <v>13</v>
      </c>
      <c r="B39" t="s">
        <v>198</v>
      </c>
      <c r="C39" s="1">
        <v>43801</v>
      </c>
      <c r="D39" t="s">
        <v>199</v>
      </c>
      <c r="E39" t="s">
        <v>49</v>
      </c>
      <c r="F39" t="s">
        <v>75</v>
      </c>
      <c r="G39" t="s">
        <v>200</v>
      </c>
      <c r="H39">
        <v>33134</v>
      </c>
      <c r="I39" t="s">
        <v>77</v>
      </c>
      <c r="J39" t="s">
        <v>201</v>
      </c>
      <c r="K39" t="s">
        <v>54</v>
      </c>
      <c r="L39">
        <v>2019</v>
      </c>
      <c r="M39">
        <v>1.5</v>
      </c>
      <c r="N39">
        <v>1.75</v>
      </c>
      <c r="O39">
        <v>0.75</v>
      </c>
      <c r="P39">
        <v>1.25</v>
      </c>
      <c r="Q39">
        <v>2.8</v>
      </c>
      <c r="R39">
        <v>3.75</v>
      </c>
      <c r="S39">
        <v>2.37</v>
      </c>
      <c r="T39">
        <v>2.8</v>
      </c>
      <c r="U39">
        <v>3.7</v>
      </c>
      <c r="V39">
        <v>2.35</v>
      </c>
      <c r="W39">
        <v>2.8</v>
      </c>
      <c r="X39">
        <v>3.55</v>
      </c>
      <c r="Y39">
        <v>2.4</v>
      </c>
      <c r="Z39">
        <v>2.91</v>
      </c>
      <c r="AA39">
        <v>3.6</v>
      </c>
      <c r="AB39">
        <v>2.4500000000000002</v>
      </c>
      <c r="AC39">
        <v>2.8</v>
      </c>
      <c r="AD39">
        <v>3.6</v>
      </c>
      <c r="AE39">
        <v>2.4</v>
      </c>
      <c r="AF39">
        <v>2.7</v>
      </c>
      <c r="AG39">
        <v>3.75</v>
      </c>
      <c r="AH39">
        <v>2.2999999999999998</v>
      </c>
      <c r="AI39">
        <v>3.04</v>
      </c>
      <c r="AJ39">
        <v>3.95</v>
      </c>
      <c r="AK39">
        <v>2.5</v>
      </c>
      <c r="AL39">
        <v>2.81</v>
      </c>
      <c r="AM39">
        <v>3.59</v>
      </c>
      <c r="AN39">
        <v>2.4</v>
      </c>
      <c r="AO39">
        <v>1</v>
      </c>
      <c r="AP39">
        <v>0.33493877827900798</v>
      </c>
      <c r="AQ39">
        <v>0.25777566733371698</v>
      </c>
      <c r="AR39">
        <v>0.40728555438727398</v>
      </c>
      <c r="AS39">
        <v>1</v>
      </c>
      <c r="AT39">
        <v>1.8213885968185E-2</v>
      </c>
      <c r="AU39">
        <v>0.30363852161286098</v>
      </c>
      <c r="AV39">
        <f t="shared" si="5"/>
        <v>13.361181251645228</v>
      </c>
      <c r="AW39">
        <f t="shared" si="6"/>
        <v>4.4751777247904432</v>
      </c>
      <c r="AX39">
        <f t="shared" si="7"/>
        <v>3.4441874135096064</v>
      </c>
      <c r="AY39">
        <f t="shared" si="8"/>
        <v>5.4418161133451788</v>
      </c>
      <c r="AZ39" cm="1">
        <f t="array" ref="AZ39">_xlfn.IFS(E39="H",AW39*AI39-AV39,E39="D",AX39*AJ39-AV39,E39="A",AY39*AK39-AV39)</f>
        <v>0.24335903171771989</v>
      </c>
      <c r="BA39">
        <f t="shared" si="9"/>
        <v>1.3462402670918567</v>
      </c>
    </row>
    <row r="40" spans="1:53" x14ac:dyDescent="0.2">
      <c r="A40">
        <v>15</v>
      </c>
      <c r="B40" t="s">
        <v>202</v>
      </c>
      <c r="C40" s="1">
        <v>43803</v>
      </c>
      <c r="D40" t="s">
        <v>203</v>
      </c>
      <c r="E40" t="s">
        <v>49</v>
      </c>
      <c r="F40" t="s">
        <v>152</v>
      </c>
      <c r="G40" t="s">
        <v>100</v>
      </c>
      <c r="H40">
        <v>27019</v>
      </c>
      <c r="I40" t="s">
        <v>154</v>
      </c>
      <c r="J40" t="s">
        <v>103</v>
      </c>
      <c r="K40" t="s">
        <v>54</v>
      </c>
      <c r="L40">
        <v>2019</v>
      </c>
      <c r="M40">
        <v>0.75</v>
      </c>
      <c r="N40">
        <v>1</v>
      </c>
      <c r="O40">
        <v>1</v>
      </c>
      <c r="P40">
        <v>0.5</v>
      </c>
      <c r="Q40">
        <v>1.72</v>
      </c>
      <c r="R40">
        <v>4</v>
      </c>
      <c r="S40">
        <v>4.2</v>
      </c>
      <c r="T40">
        <v>1.75</v>
      </c>
      <c r="U40">
        <v>4</v>
      </c>
      <c r="V40">
        <v>4.33</v>
      </c>
      <c r="W40">
        <v>1.85</v>
      </c>
      <c r="X40">
        <v>3.7</v>
      </c>
      <c r="Y40">
        <v>4.0999999999999996</v>
      </c>
      <c r="Z40">
        <v>1.79</v>
      </c>
      <c r="AA40">
        <v>4.09</v>
      </c>
      <c r="AB40">
        <v>4.41</v>
      </c>
      <c r="AC40">
        <v>1.75</v>
      </c>
      <c r="AD40">
        <v>4</v>
      </c>
      <c r="AE40">
        <v>4.4000000000000004</v>
      </c>
      <c r="AF40">
        <v>1.75</v>
      </c>
      <c r="AG40">
        <v>4</v>
      </c>
      <c r="AH40">
        <v>4.5999999999999996</v>
      </c>
      <c r="AI40">
        <v>1.85</v>
      </c>
      <c r="AJ40">
        <v>4.1500000000000004</v>
      </c>
      <c r="AK40">
        <v>4.5999999999999996</v>
      </c>
      <c r="AL40">
        <v>1.78</v>
      </c>
      <c r="AM40">
        <v>3.99</v>
      </c>
      <c r="AN40">
        <v>4.3499999999999996</v>
      </c>
      <c r="AO40">
        <v>1</v>
      </c>
      <c r="AP40">
        <v>0.54113811919778898</v>
      </c>
      <c r="AQ40">
        <v>0.24123024590744799</v>
      </c>
      <c r="AR40">
        <v>0.217631634894763</v>
      </c>
      <c r="AS40">
        <v>1</v>
      </c>
      <c r="AT40">
        <v>1.10552051590961E-3</v>
      </c>
      <c r="AU40">
        <v>0.30474404212876999</v>
      </c>
      <c r="AV40">
        <f t="shared" si="5"/>
        <v>14.707421518737084</v>
      </c>
      <c r="AW40">
        <f t="shared" si="6"/>
        <v>7.9587464188984747</v>
      </c>
      <c r="AX40">
        <f t="shared" si="7"/>
        <v>3.5478749096294404</v>
      </c>
      <c r="AY40">
        <f t="shared" si="8"/>
        <v>3.2008001902091698</v>
      </c>
      <c r="AZ40" cm="1">
        <f t="array" ref="AZ40">_xlfn.IFS(E40="H",AW40*AI40-AV40,E40="D",AX40*AJ40-AV40,E40="A",AY40*AK40-AV40)</f>
        <v>1.6259356225095445E-2</v>
      </c>
      <c r="BA40">
        <f t="shared" si="9"/>
        <v>1.3624996233169522</v>
      </c>
    </row>
    <row r="41" spans="1:53" x14ac:dyDescent="0.2">
      <c r="A41">
        <v>14</v>
      </c>
      <c r="B41" t="s">
        <v>55</v>
      </c>
      <c r="C41" s="1">
        <v>43806</v>
      </c>
      <c r="D41" t="s">
        <v>73</v>
      </c>
      <c r="E41" t="s">
        <v>49</v>
      </c>
      <c r="F41" t="s">
        <v>204</v>
      </c>
      <c r="G41" t="s">
        <v>138</v>
      </c>
      <c r="H41">
        <v>38407</v>
      </c>
      <c r="I41" t="s">
        <v>205</v>
      </c>
      <c r="J41" t="s">
        <v>206</v>
      </c>
      <c r="K41" t="s">
        <v>54</v>
      </c>
      <c r="L41">
        <v>2019</v>
      </c>
      <c r="M41">
        <v>1.75</v>
      </c>
      <c r="N41">
        <v>3.5</v>
      </c>
      <c r="O41">
        <v>2.5</v>
      </c>
      <c r="P41">
        <v>2</v>
      </c>
      <c r="Q41">
        <v>1.44</v>
      </c>
      <c r="R41">
        <v>4.75</v>
      </c>
      <c r="S41">
        <v>6.5</v>
      </c>
      <c r="T41">
        <v>1.42</v>
      </c>
      <c r="U41">
        <v>5.25</v>
      </c>
      <c r="V41">
        <v>6.5</v>
      </c>
      <c r="W41">
        <v>1.5</v>
      </c>
      <c r="X41">
        <v>4.5999999999999996</v>
      </c>
      <c r="Y41">
        <v>5.9</v>
      </c>
      <c r="Z41">
        <v>1.45</v>
      </c>
      <c r="AA41">
        <v>5.16</v>
      </c>
      <c r="AB41">
        <v>6.73</v>
      </c>
      <c r="AC41">
        <v>1.42</v>
      </c>
      <c r="AD41">
        <v>5</v>
      </c>
      <c r="AE41">
        <v>7</v>
      </c>
      <c r="AF41">
        <v>1.44</v>
      </c>
      <c r="AG41">
        <v>5</v>
      </c>
      <c r="AH41">
        <v>6.5</v>
      </c>
      <c r="AI41">
        <v>1.52</v>
      </c>
      <c r="AJ41">
        <v>5.25</v>
      </c>
      <c r="AK41">
        <v>7.2</v>
      </c>
      <c r="AL41">
        <v>1.44</v>
      </c>
      <c r="AM41">
        <v>4.9800000000000004</v>
      </c>
      <c r="AN41">
        <v>6.48</v>
      </c>
      <c r="AO41">
        <v>1</v>
      </c>
      <c r="AP41">
        <v>0.66638459911148695</v>
      </c>
      <c r="AQ41">
        <v>0.19293420774275399</v>
      </c>
      <c r="AR41">
        <v>0.140681193145758</v>
      </c>
      <c r="AS41">
        <v>1</v>
      </c>
      <c r="AT41">
        <v>1.2904590649460699E-2</v>
      </c>
      <c r="AU41">
        <v>0.31764863277823102</v>
      </c>
      <c r="AV41">
        <f t="shared" si="5"/>
        <v>16.069921142054035</v>
      </c>
      <c r="AW41">
        <f t="shared" si="6"/>
        <v>10.708747958000892</v>
      </c>
      <c r="AX41">
        <f t="shared" si="7"/>
        <v>3.1004375040307335</v>
      </c>
      <c r="AY41">
        <f t="shared" si="8"/>
        <v>2.2607356800224103</v>
      </c>
      <c r="AZ41" cm="1">
        <f t="array" ref="AZ41">_xlfn.IFS(E41="H",AW41*AI41-AV41,E41="D",AX41*AJ41-AV41,E41="A",AY41*AK41-AV41)</f>
        <v>0.20737575410732134</v>
      </c>
      <c r="BA41">
        <f t="shared" si="9"/>
        <v>1.5698753774242735</v>
      </c>
    </row>
    <row r="42" spans="1:53" x14ac:dyDescent="0.2">
      <c r="A42">
        <v>15</v>
      </c>
      <c r="B42" t="s">
        <v>55</v>
      </c>
      <c r="C42" s="1">
        <v>43806</v>
      </c>
      <c r="D42" t="s">
        <v>183</v>
      </c>
      <c r="E42" t="s">
        <v>49</v>
      </c>
      <c r="F42" t="s">
        <v>195</v>
      </c>
      <c r="G42" t="s">
        <v>142</v>
      </c>
      <c r="H42">
        <v>19335</v>
      </c>
      <c r="I42" t="s">
        <v>207</v>
      </c>
      <c r="J42" t="s">
        <v>208</v>
      </c>
      <c r="K42" t="s">
        <v>54</v>
      </c>
      <c r="L42">
        <v>2019</v>
      </c>
      <c r="M42">
        <v>1.5</v>
      </c>
      <c r="N42">
        <v>2.75</v>
      </c>
      <c r="O42">
        <v>1</v>
      </c>
      <c r="P42">
        <v>0.75</v>
      </c>
      <c r="Q42">
        <v>1.33</v>
      </c>
      <c r="R42">
        <v>5.25</v>
      </c>
      <c r="S42">
        <v>9</v>
      </c>
      <c r="T42">
        <v>1.33</v>
      </c>
      <c r="U42">
        <v>5.25</v>
      </c>
      <c r="V42">
        <v>9.5</v>
      </c>
      <c r="W42">
        <v>1.35</v>
      </c>
      <c r="X42">
        <v>5.2</v>
      </c>
      <c r="Y42">
        <v>8.8000000000000007</v>
      </c>
      <c r="Z42">
        <v>1.34</v>
      </c>
      <c r="AA42">
        <v>5.4</v>
      </c>
      <c r="AB42">
        <v>9.6199999999999992</v>
      </c>
      <c r="AC42">
        <v>1.3</v>
      </c>
      <c r="AD42">
        <v>5</v>
      </c>
      <c r="AE42">
        <v>11</v>
      </c>
      <c r="AF42">
        <v>1.3</v>
      </c>
      <c r="AG42">
        <v>5.25</v>
      </c>
      <c r="AH42">
        <v>11.5</v>
      </c>
      <c r="AI42">
        <v>1.37</v>
      </c>
      <c r="AJ42">
        <v>5.5</v>
      </c>
      <c r="AK42">
        <v>11.5</v>
      </c>
      <c r="AL42">
        <v>1.33</v>
      </c>
      <c r="AM42">
        <v>5.19</v>
      </c>
      <c r="AN42">
        <v>9.39</v>
      </c>
      <c r="AO42">
        <v>1</v>
      </c>
      <c r="AP42">
        <v>0.73087589553963395</v>
      </c>
      <c r="AQ42">
        <v>0.18205454125259901</v>
      </c>
      <c r="AR42">
        <v>8.7069563207765197E-2</v>
      </c>
      <c r="AS42">
        <v>1</v>
      </c>
      <c r="AT42">
        <v>1.29997688929983E-3</v>
      </c>
      <c r="AU42">
        <v>0.31894860966753102</v>
      </c>
      <c r="AV42">
        <f t="shared" si="5"/>
        <v>17.63979651947831</v>
      </c>
      <c r="AW42">
        <f t="shared" si="6"/>
        <v>12.892502078310644</v>
      </c>
      <c r="AX42">
        <f t="shared" si="7"/>
        <v>3.2114050631428328</v>
      </c>
      <c r="AY42">
        <f t="shared" si="8"/>
        <v>1.5358893780248333</v>
      </c>
      <c r="AZ42" cm="1">
        <f t="array" ref="AZ42">_xlfn.IFS(E42="H",AW42*AI42-AV42,E42="D",AX42*AJ42-AV42,E42="A",AY42*AK42-AV42)</f>
        <v>2.2931327807274471E-2</v>
      </c>
      <c r="BA42">
        <f t="shared" si="9"/>
        <v>1.592806705231548</v>
      </c>
    </row>
    <row r="43" spans="1:53" x14ac:dyDescent="0.2">
      <c r="A43">
        <v>16</v>
      </c>
      <c r="B43" t="s">
        <v>55</v>
      </c>
      <c r="C43" s="1">
        <v>43806</v>
      </c>
      <c r="D43" t="s">
        <v>90</v>
      </c>
      <c r="E43" t="s">
        <v>74</v>
      </c>
      <c r="F43" t="s">
        <v>209</v>
      </c>
      <c r="G43" t="s">
        <v>210</v>
      </c>
      <c r="H43">
        <v>10832</v>
      </c>
      <c r="I43" t="s">
        <v>211</v>
      </c>
      <c r="J43" t="s">
        <v>180</v>
      </c>
      <c r="K43" t="s">
        <v>54</v>
      </c>
      <c r="L43">
        <v>2019</v>
      </c>
      <c r="M43">
        <v>1.25</v>
      </c>
      <c r="N43">
        <v>1</v>
      </c>
      <c r="O43">
        <v>2.5</v>
      </c>
      <c r="P43">
        <v>1.5</v>
      </c>
      <c r="Q43">
        <v>7</v>
      </c>
      <c r="R43">
        <v>5.25</v>
      </c>
      <c r="S43">
        <v>1.4</v>
      </c>
      <c r="T43">
        <v>7.25</v>
      </c>
      <c r="U43">
        <v>5</v>
      </c>
      <c r="V43">
        <v>1.4</v>
      </c>
      <c r="W43">
        <v>6.7</v>
      </c>
      <c r="X43">
        <v>4.9000000000000004</v>
      </c>
      <c r="Y43">
        <v>1.43</v>
      </c>
      <c r="Z43">
        <v>7.01</v>
      </c>
      <c r="AA43">
        <v>5.22</v>
      </c>
      <c r="AB43">
        <v>1.44</v>
      </c>
      <c r="AC43">
        <v>7.5</v>
      </c>
      <c r="AD43">
        <v>5</v>
      </c>
      <c r="AE43">
        <v>1.4</v>
      </c>
      <c r="AF43">
        <v>8</v>
      </c>
      <c r="AG43">
        <v>5</v>
      </c>
      <c r="AH43">
        <v>1.4</v>
      </c>
      <c r="AI43">
        <v>8</v>
      </c>
      <c r="AJ43">
        <v>5.3</v>
      </c>
      <c r="AK43">
        <v>1.47</v>
      </c>
      <c r="AL43">
        <v>7.01</v>
      </c>
      <c r="AM43">
        <v>5.03</v>
      </c>
      <c r="AN43">
        <v>1.42</v>
      </c>
      <c r="AO43">
        <v>1</v>
      </c>
      <c r="AP43">
        <v>0.12576068182918701</v>
      </c>
      <c r="AQ43">
        <v>0.18982744427047099</v>
      </c>
      <c r="AR43">
        <v>0.68441187390033997</v>
      </c>
      <c r="AS43">
        <v>0.999999999999999</v>
      </c>
      <c r="AT43">
        <v>6.08545463350052E-3</v>
      </c>
      <c r="AU43">
        <v>0.32503406430103099</v>
      </c>
      <c r="AV43">
        <f t="shared" si="5"/>
        <v>19.232603224709859</v>
      </c>
      <c r="AW43">
        <f t="shared" si="6"/>
        <v>2.4187052948897434</v>
      </c>
      <c r="AX43">
        <f t="shared" si="7"/>
        <v>3.6508759168147069</v>
      </c>
      <c r="AY43">
        <f t="shared" si="8"/>
        <v>13.163022013005406</v>
      </c>
      <c r="AZ43" cm="1">
        <f t="array" ref="AZ43">_xlfn.IFS(E43="H",AW43*AI43-AV43,E43="D",AX43*AJ43-AV43,E43="A",AY43*AK43-AV43)</f>
        <v>0.11703913440808833</v>
      </c>
      <c r="BA43">
        <f t="shared" si="9"/>
        <v>1.7098458396396363</v>
      </c>
    </row>
    <row r="44" spans="1:53" x14ac:dyDescent="0.2">
      <c r="A44">
        <v>15</v>
      </c>
      <c r="B44" t="s">
        <v>67</v>
      </c>
      <c r="C44" s="1">
        <v>43807</v>
      </c>
      <c r="D44" t="s">
        <v>183</v>
      </c>
      <c r="E44" t="s">
        <v>57</v>
      </c>
      <c r="F44" t="s">
        <v>109</v>
      </c>
      <c r="G44" t="s">
        <v>141</v>
      </c>
      <c r="H44">
        <v>12666</v>
      </c>
      <c r="I44" t="s">
        <v>123</v>
      </c>
      <c r="J44" t="s">
        <v>212</v>
      </c>
      <c r="K44" t="s">
        <v>54</v>
      </c>
      <c r="L44">
        <v>2019</v>
      </c>
      <c r="M44">
        <v>0.75</v>
      </c>
      <c r="N44">
        <v>2</v>
      </c>
      <c r="O44">
        <v>1.5</v>
      </c>
      <c r="P44">
        <v>1.5</v>
      </c>
      <c r="Q44">
        <v>2.37</v>
      </c>
      <c r="R44">
        <v>3.5</v>
      </c>
      <c r="S44">
        <v>2.9</v>
      </c>
      <c r="T44">
        <v>2.5</v>
      </c>
      <c r="U44">
        <v>3.3</v>
      </c>
      <c r="V44">
        <v>2.85</v>
      </c>
      <c r="W44">
        <v>2.4</v>
      </c>
      <c r="X44">
        <v>3.5</v>
      </c>
      <c r="Y44">
        <v>2.85</v>
      </c>
      <c r="Z44">
        <v>2.41</v>
      </c>
      <c r="AA44">
        <v>3.62</v>
      </c>
      <c r="AB44">
        <v>2.96</v>
      </c>
      <c r="AC44">
        <v>2.35</v>
      </c>
      <c r="AD44">
        <v>3.5</v>
      </c>
      <c r="AE44">
        <v>2.88</v>
      </c>
      <c r="AF44">
        <v>2.38</v>
      </c>
      <c r="AG44">
        <v>3.3</v>
      </c>
      <c r="AH44">
        <v>2.9</v>
      </c>
      <c r="AI44">
        <v>2.6</v>
      </c>
      <c r="AJ44">
        <v>3.65</v>
      </c>
      <c r="AK44">
        <v>2.98</v>
      </c>
      <c r="AL44">
        <v>2.4</v>
      </c>
      <c r="AM44">
        <v>3.48</v>
      </c>
      <c r="AN44">
        <v>2.87</v>
      </c>
      <c r="AO44">
        <v>1</v>
      </c>
      <c r="AP44">
        <v>0.38687533345189401</v>
      </c>
      <c r="AQ44">
        <v>0.27558242930819798</v>
      </c>
      <c r="AR44">
        <v>0.33754223723990701</v>
      </c>
      <c r="AS44">
        <v>1</v>
      </c>
      <c r="AT44">
        <v>5.87586697492437E-3</v>
      </c>
      <c r="AU44">
        <v>0.33090993127595603</v>
      </c>
      <c r="AV44">
        <f t="shared" si="5"/>
        <v>20.942449064349496</v>
      </c>
      <c r="AW44">
        <f t="shared" si="6"/>
        <v>8.1021169650695164</v>
      </c>
      <c r="AX44">
        <f t="shared" si="7"/>
        <v>5.7713709888166429</v>
      </c>
      <c r="AY44">
        <f t="shared" si="8"/>
        <v>7.068961110463337</v>
      </c>
      <c r="AZ44" cm="1">
        <f t="array" ref="AZ44">_xlfn.IFS(E44="H",AW44*AI44-AV44,E44="D",AX44*AJ44-AV44,E44="A",AY44*AK44-AV44)</f>
        <v>0.12305504483125063</v>
      </c>
      <c r="BA44">
        <f t="shared" si="9"/>
        <v>1.8329008844708869</v>
      </c>
    </row>
    <row r="45" spans="1:53" x14ac:dyDescent="0.2">
      <c r="A45">
        <v>16</v>
      </c>
      <c r="B45" t="s">
        <v>67</v>
      </c>
      <c r="C45" s="1">
        <v>43807</v>
      </c>
      <c r="D45" t="s">
        <v>125</v>
      </c>
      <c r="E45" t="s">
        <v>74</v>
      </c>
      <c r="F45" t="s">
        <v>213</v>
      </c>
      <c r="G45" t="s">
        <v>153</v>
      </c>
      <c r="H45">
        <v>41908</v>
      </c>
      <c r="I45" t="s">
        <v>214</v>
      </c>
      <c r="J45" t="s">
        <v>215</v>
      </c>
      <c r="K45" t="s">
        <v>54</v>
      </c>
      <c r="L45">
        <v>2019</v>
      </c>
      <c r="M45">
        <v>1.75</v>
      </c>
      <c r="N45">
        <v>1.75</v>
      </c>
      <c r="O45">
        <v>2.25</v>
      </c>
      <c r="P45">
        <v>3.5</v>
      </c>
      <c r="Q45">
        <v>4.33</v>
      </c>
      <c r="R45">
        <v>3.8</v>
      </c>
      <c r="S45">
        <v>1.8</v>
      </c>
      <c r="T45">
        <v>4.5</v>
      </c>
      <c r="U45">
        <v>3.9</v>
      </c>
      <c r="V45">
        <v>1.75</v>
      </c>
      <c r="W45">
        <v>4.0999999999999996</v>
      </c>
      <c r="X45">
        <v>3.85</v>
      </c>
      <c r="Y45">
        <v>1.83</v>
      </c>
      <c r="Z45">
        <v>4.38</v>
      </c>
      <c r="AA45">
        <v>3.92</v>
      </c>
      <c r="AB45">
        <v>1.84</v>
      </c>
      <c r="AC45">
        <v>4.2</v>
      </c>
      <c r="AD45">
        <v>3.9</v>
      </c>
      <c r="AE45">
        <v>1.8</v>
      </c>
      <c r="AF45">
        <v>4.2</v>
      </c>
      <c r="AG45">
        <v>3.9</v>
      </c>
      <c r="AH45">
        <v>1.8</v>
      </c>
      <c r="AI45">
        <v>4.5</v>
      </c>
      <c r="AJ45">
        <v>4.07</v>
      </c>
      <c r="AK45">
        <v>1.9</v>
      </c>
      <c r="AL45">
        <v>4.2699999999999996</v>
      </c>
      <c r="AM45">
        <v>3.88</v>
      </c>
      <c r="AN45">
        <v>1.82</v>
      </c>
      <c r="AO45">
        <v>1</v>
      </c>
      <c r="AP45">
        <v>0.223510029481472</v>
      </c>
      <c r="AQ45">
        <v>0.24712411122030101</v>
      </c>
      <c r="AR45">
        <v>0.52936585929822499</v>
      </c>
      <c r="AS45">
        <v>1</v>
      </c>
      <c r="AT45">
        <v>5.7951326666281196E-3</v>
      </c>
      <c r="AU45">
        <v>0.33670506394258398</v>
      </c>
      <c r="AV45">
        <f t="shared" si="5"/>
        <v>22.775349948820384</v>
      </c>
      <c r="AW45">
        <f t="shared" si="6"/>
        <v>5.0905191385117075</v>
      </c>
      <c r="AX45">
        <f t="shared" si="7"/>
        <v>5.6283381138335811</v>
      </c>
      <c r="AY45">
        <f t="shared" si="8"/>
        <v>12.056492696475095</v>
      </c>
      <c r="AZ45" cm="1">
        <f t="array" ref="AZ45">_xlfn.IFS(E45="H",AW45*AI45-AV45,E45="D",AX45*AJ45-AV45,E45="A",AY45*AK45-AV45)</f>
        <v>0.13198617448229655</v>
      </c>
      <c r="BA45">
        <f t="shared" si="9"/>
        <v>1.9648870589531835</v>
      </c>
    </row>
    <row r="46" spans="1:53" x14ac:dyDescent="0.2">
      <c r="A46">
        <v>17</v>
      </c>
      <c r="B46" t="s">
        <v>67</v>
      </c>
      <c r="C46" s="1">
        <v>43807</v>
      </c>
      <c r="D46" t="s">
        <v>183</v>
      </c>
      <c r="E46" t="s">
        <v>49</v>
      </c>
      <c r="F46" t="s">
        <v>216</v>
      </c>
      <c r="G46" t="s">
        <v>217</v>
      </c>
      <c r="H46">
        <v>14512</v>
      </c>
      <c r="I46" t="s">
        <v>218</v>
      </c>
      <c r="J46" t="s">
        <v>81</v>
      </c>
      <c r="K46" t="s">
        <v>54</v>
      </c>
      <c r="L46">
        <v>2019</v>
      </c>
      <c r="M46">
        <v>1.5</v>
      </c>
      <c r="N46">
        <v>0.5</v>
      </c>
      <c r="O46">
        <v>2.25</v>
      </c>
      <c r="P46">
        <v>1.5</v>
      </c>
      <c r="Q46">
        <v>2.0499999999999998</v>
      </c>
      <c r="R46">
        <v>3.25</v>
      </c>
      <c r="S46">
        <v>4</v>
      </c>
      <c r="T46">
        <v>1.95</v>
      </c>
      <c r="U46">
        <v>3.3</v>
      </c>
      <c r="V46">
        <v>4.25</v>
      </c>
      <c r="W46">
        <v>2</v>
      </c>
      <c r="X46">
        <v>3.2</v>
      </c>
      <c r="Y46">
        <v>4.05</v>
      </c>
      <c r="Z46">
        <v>2.0099999999999998</v>
      </c>
      <c r="AA46">
        <v>3.38</v>
      </c>
      <c r="AB46">
        <v>4.24</v>
      </c>
      <c r="AC46">
        <v>1.95</v>
      </c>
      <c r="AD46">
        <v>3.2</v>
      </c>
      <c r="AE46">
        <v>4.2</v>
      </c>
      <c r="AF46">
        <v>2</v>
      </c>
      <c r="AG46">
        <v>3.1</v>
      </c>
      <c r="AH46">
        <v>4</v>
      </c>
      <c r="AI46">
        <v>2.1</v>
      </c>
      <c r="AJ46">
        <v>3.4</v>
      </c>
      <c r="AK46">
        <v>4.4000000000000004</v>
      </c>
      <c r="AL46">
        <v>1.99</v>
      </c>
      <c r="AM46">
        <v>3.26</v>
      </c>
      <c r="AN46">
        <v>4.0999999999999996</v>
      </c>
      <c r="AO46">
        <v>1</v>
      </c>
      <c r="AP46">
        <v>0.477345245692405</v>
      </c>
      <c r="AQ46">
        <v>0.29483088704530902</v>
      </c>
      <c r="AR46">
        <v>0.22782386726228401</v>
      </c>
      <c r="AS46">
        <v>1</v>
      </c>
      <c r="AT46">
        <v>2.4250159540524199E-3</v>
      </c>
      <c r="AU46">
        <v>0.33913007989663602</v>
      </c>
      <c r="AV46">
        <f t="shared" si="5"/>
        <v>24.740237007773569</v>
      </c>
      <c r="AW46">
        <f t="shared" si="6"/>
        <v>11.809634512964028</v>
      </c>
      <c r="AX46">
        <f t="shared" si="7"/>
        <v>7.2941860227130766</v>
      </c>
      <c r="AY46">
        <f t="shared" si="8"/>
        <v>5.6364164720964665</v>
      </c>
      <c r="AZ46" cm="1">
        <f t="array" ref="AZ46">_xlfn.IFS(E46="H",AW46*AI46-AV46,E46="D",AX46*AJ46-AV46,E46="A",AY46*AK46-AV46)</f>
        <v>5.9995469450889516E-2</v>
      </c>
      <c r="BA46">
        <f t="shared" si="9"/>
        <v>2.0248825284040732</v>
      </c>
    </row>
    <row r="47" spans="1:53" x14ac:dyDescent="0.2">
      <c r="A47">
        <v>16</v>
      </c>
      <c r="B47" t="s">
        <v>198</v>
      </c>
      <c r="C47" s="1">
        <v>43808</v>
      </c>
      <c r="D47" t="s">
        <v>151</v>
      </c>
      <c r="E47" t="s">
        <v>74</v>
      </c>
      <c r="F47" t="s">
        <v>126</v>
      </c>
      <c r="G47" t="s">
        <v>178</v>
      </c>
      <c r="H47">
        <v>59936</v>
      </c>
      <c r="I47" t="s">
        <v>128</v>
      </c>
      <c r="J47" t="s">
        <v>219</v>
      </c>
      <c r="K47" t="s">
        <v>54</v>
      </c>
      <c r="L47">
        <v>2019</v>
      </c>
      <c r="M47">
        <v>0.25</v>
      </c>
      <c r="N47">
        <v>1.5</v>
      </c>
      <c r="O47">
        <v>0.5</v>
      </c>
      <c r="P47">
        <v>0.75</v>
      </c>
      <c r="Q47">
        <v>3.3</v>
      </c>
      <c r="R47">
        <v>4</v>
      </c>
      <c r="S47">
        <v>2</v>
      </c>
      <c r="T47">
        <v>3.6</v>
      </c>
      <c r="U47">
        <v>4</v>
      </c>
      <c r="V47">
        <v>1.91</v>
      </c>
      <c r="W47">
        <v>3.4</v>
      </c>
      <c r="X47">
        <v>3.95</v>
      </c>
      <c r="Y47">
        <v>1.97</v>
      </c>
      <c r="Z47">
        <v>3.5</v>
      </c>
      <c r="AA47">
        <v>4.0999999999999996</v>
      </c>
      <c r="AB47">
        <v>2.02</v>
      </c>
      <c r="AC47">
        <v>3.4</v>
      </c>
      <c r="AD47">
        <v>4.2</v>
      </c>
      <c r="AE47">
        <v>1.95</v>
      </c>
      <c r="AF47">
        <v>3.5</v>
      </c>
      <c r="AG47">
        <v>4</v>
      </c>
      <c r="AH47">
        <v>1.95</v>
      </c>
      <c r="AI47">
        <v>3.6</v>
      </c>
      <c r="AJ47">
        <v>4.25</v>
      </c>
      <c r="AK47">
        <v>2.08</v>
      </c>
      <c r="AL47">
        <v>3.43</v>
      </c>
      <c r="AM47">
        <v>4.0199999999999996</v>
      </c>
      <c r="AN47">
        <v>1.98</v>
      </c>
      <c r="AO47">
        <v>1</v>
      </c>
      <c r="AP47">
        <v>0.27949917794359402</v>
      </c>
      <c r="AQ47">
        <v>0.236752244846338</v>
      </c>
      <c r="AR47">
        <v>0.48374857721006698</v>
      </c>
      <c r="AS47">
        <v>1</v>
      </c>
      <c r="AT47">
        <v>6.1970405969393703E-3</v>
      </c>
      <c r="AU47">
        <v>0.345327120493575</v>
      </c>
      <c r="AV47">
        <f t="shared" si="5"/>
        <v>26.765119536177643</v>
      </c>
      <c r="AW47">
        <f t="shared" si="6"/>
        <v>7.4808289079236863</v>
      </c>
      <c r="AX47">
        <f t="shared" si="7"/>
        <v>6.3367021337706522</v>
      </c>
      <c r="AY47">
        <f t="shared" si="8"/>
        <v>12.947588494483304</v>
      </c>
      <c r="AZ47" cm="1">
        <f t="array" ref="AZ47">_xlfn.IFS(E47="H",AW47*AI47-AV47,E47="D",AX47*AJ47-AV47,E47="A",AY47*AK47-AV47)</f>
        <v>0.16586453234762999</v>
      </c>
      <c r="BA47">
        <f t="shared" si="9"/>
        <v>2.1907470607517032</v>
      </c>
    </row>
    <row r="48" spans="1:53" x14ac:dyDescent="0.2">
      <c r="A48">
        <v>18</v>
      </c>
      <c r="B48" t="s">
        <v>55</v>
      </c>
      <c r="C48" s="1">
        <v>43813</v>
      </c>
      <c r="D48" t="s">
        <v>62</v>
      </c>
      <c r="E48" t="s">
        <v>74</v>
      </c>
      <c r="F48" t="s">
        <v>95</v>
      </c>
      <c r="G48" t="s">
        <v>58</v>
      </c>
      <c r="H48">
        <v>12098</v>
      </c>
      <c r="I48" t="s">
        <v>97</v>
      </c>
      <c r="J48" t="s">
        <v>177</v>
      </c>
      <c r="K48" t="s">
        <v>54</v>
      </c>
      <c r="L48">
        <v>2019</v>
      </c>
      <c r="M48">
        <v>0.5</v>
      </c>
      <c r="N48">
        <v>0.5</v>
      </c>
      <c r="O48">
        <v>0.25</v>
      </c>
      <c r="P48">
        <v>0.25</v>
      </c>
      <c r="Q48">
        <v>3.4</v>
      </c>
      <c r="R48">
        <v>3.1</v>
      </c>
      <c r="S48">
        <v>2.2999999999999998</v>
      </c>
      <c r="T48">
        <v>3.3</v>
      </c>
      <c r="U48">
        <v>3.1</v>
      </c>
      <c r="V48">
        <v>2.35</v>
      </c>
      <c r="W48">
        <v>3.35</v>
      </c>
      <c r="X48">
        <v>3.15</v>
      </c>
      <c r="Y48">
        <v>2.2999999999999998</v>
      </c>
      <c r="Z48">
        <v>3.41</v>
      </c>
      <c r="AA48">
        <v>3.26</v>
      </c>
      <c r="AB48">
        <v>2.33</v>
      </c>
      <c r="AC48">
        <v>3.25</v>
      </c>
      <c r="AD48">
        <v>3.2</v>
      </c>
      <c r="AE48">
        <v>2.25</v>
      </c>
      <c r="AF48">
        <v>3.3</v>
      </c>
      <c r="AG48">
        <v>3.1</v>
      </c>
      <c r="AH48">
        <v>2.2999999999999998</v>
      </c>
      <c r="AI48">
        <v>3.44</v>
      </c>
      <c r="AJ48">
        <v>3.34</v>
      </c>
      <c r="AK48">
        <v>2.4700000000000002</v>
      </c>
      <c r="AL48">
        <v>3.28</v>
      </c>
      <c r="AM48">
        <v>3.16</v>
      </c>
      <c r="AN48">
        <v>2.3199999999999998</v>
      </c>
      <c r="AO48">
        <v>1</v>
      </c>
      <c r="AP48">
        <v>0.292171042845708</v>
      </c>
      <c r="AQ48">
        <v>0.30091867885905299</v>
      </c>
      <c r="AR48">
        <v>0.40691027829523702</v>
      </c>
      <c r="AS48">
        <v>1</v>
      </c>
      <c r="AT48">
        <v>5.06838738923787E-3</v>
      </c>
      <c r="AU48">
        <v>0.35039550788281298</v>
      </c>
      <c r="AV48">
        <f t="shared" si="5"/>
        <v>28.955866596929347</v>
      </c>
      <c r="AW48">
        <f t="shared" si="6"/>
        <v>8.460065740126069</v>
      </c>
      <c r="AX48">
        <f t="shared" si="7"/>
        <v>8.7133611215669706</v>
      </c>
      <c r="AY48">
        <f t="shared" si="8"/>
        <v>11.782439735236306</v>
      </c>
      <c r="AZ48" cm="1">
        <f t="array" ref="AZ48">_xlfn.IFS(E48="H",AW48*AI48-AV48,E48="D",AX48*AJ48-AV48,E48="A",AY48*AK48-AV48)</f>
        <v>0.1467595491043312</v>
      </c>
      <c r="BA48">
        <f t="shared" si="9"/>
        <v>2.3375066098560344</v>
      </c>
    </row>
    <row r="49" spans="1:53" x14ac:dyDescent="0.2">
      <c r="A49">
        <v>16</v>
      </c>
      <c r="B49" t="s">
        <v>130</v>
      </c>
      <c r="C49" s="1">
        <v>43816</v>
      </c>
      <c r="D49" t="s">
        <v>190</v>
      </c>
      <c r="E49" t="s">
        <v>74</v>
      </c>
      <c r="F49" t="s">
        <v>171</v>
      </c>
      <c r="G49" t="s">
        <v>75</v>
      </c>
      <c r="H49">
        <v>37720</v>
      </c>
      <c r="I49" t="s">
        <v>173</v>
      </c>
      <c r="J49" t="s">
        <v>120</v>
      </c>
      <c r="K49" t="s">
        <v>54</v>
      </c>
      <c r="L49">
        <v>2019</v>
      </c>
      <c r="M49">
        <v>0.5</v>
      </c>
      <c r="N49">
        <v>1</v>
      </c>
      <c r="O49">
        <v>0.75</v>
      </c>
      <c r="P49">
        <v>1.5</v>
      </c>
      <c r="Q49">
        <v>1.75</v>
      </c>
      <c r="R49">
        <v>4.2</v>
      </c>
      <c r="S49">
        <v>4.2</v>
      </c>
      <c r="T49">
        <v>1.8</v>
      </c>
      <c r="U49">
        <v>4</v>
      </c>
      <c r="V49">
        <v>4.0999999999999996</v>
      </c>
      <c r="W49">
        <v>1.85</v>
      </c>
      <c r="X49">
        <v>3.9</v>
      </c>
      <c r="Y49">
        <v>3.9</v>
      </c>
      <c r="Z49">
        <v>1.84</v>
      </c>
      <c r="AA49">
        <v>4.01</v>
      </c>
      <c r="AB49">
        <v>4.2</v>
      </c>
      <c r="AC49">
        <v>1.83</v>
      </c>
      <c r="AD49">
        <v>3.9</v>
      </c>
      <c r="AE49">
        <v>4</v>
      </c>
      <c r="AF49">
        <v>1.83</v>
      </c>
      <c r="AG49">
        <v>4.0999999999999996</v>
      </c>
      <c r="AH49">
        <v>3.9</v>
      </c>
      <c r="AI49">
        <v>1.87</v>
      </c>
      <c r="AJ49">
        <v>4.32</v>
      </c>
      <c r="AK49">
        <v>4.32</v>
      </c>
      <c r="AL49">
        <v>1.82</v>
      </c>
      <c r="AM49">
        <v>4</v>
      </c>
      <c r="AN49">
        <v>4.08</v>
      </c>
      <c r="AO49">
        <v>1</v>
      </c>
      <c r="AP49">
        <v>0.53598014888337397</v>
      </c>
      <c r="AQ49">
        <v>0.23200992555831201</v>
      </c>
      <c r="AR49">
        <v>0.23200992555831201</v>
      </c>
      <c r="AS49">
        <v>1</v>
      </c>
      <c r="AT49">
        <v>2.28287841191066E-3</v>
      </c>
      <c r="AU49">
        <v>0.35267838629472398</v>
      </c>
      <c r="AV49">
        <f t="shared" si="5"/>
        <v>31.293373206785382</v>
      </c>
      <c r="AW49">
        <f t="shared" si="6"/>
        <v>16.77262683043584</v>
      </c>
      <c r="AX49">
        <f t="shared" si="7"/>
        <v>7.2603731881747722</v>
      </c>
      <c r="AY49">
        <f t="shared" si="8"/>
        <v>7.2603731881747722</v>
      </c>
      <c r="AZ49" cm="1">
        <f t="array" ref="AZ49">_xlfn.IFS(E49="H",AW49*AI49-AV49,E49="D",AX49*AJ49-AV49,E49="A",AY49*AK49-AV49)</f>
        <v>7.1438966129633741E-2</v>
      </c>
      <c r="BA49">
        <f t="shared" si="9"/>
        <v>2.4089455759856682</v>
      </c>
    </row>
    <row r="50" spans="1:53" x14ac:dyDescent="0.2">
      <c r="A50">
        <v>16</v>
      </c>
      <c r="B50" t="s">
        <v>130</v>
      </c>
      <c r="C50" s="1">
        <v>43816</v>
      </c>
      <c r="D50" t="s">
        <v>199</v>
      </c>
      <c r="E50" t="s">
        <v>57</v>
      </c>
      <c r="F50" t="s">
        <v>220</v>
      </c>
      <c r="G50" t="s">
        <v>204</v>
      </c>
      <c r="H50">
        <v>80200</v>
      </c>
      <c r="I50" t="s">
        <v>221</v>
      </c>
      <c r="J50" t="s">
        <v>222</v>
      </c>
      <c r="K50" t="s">
        <v>54</v>
      </c>
      <c r="L50">
        <v>2019</v>
      </c>
      <c r="M50">
        <v>2.5</v>
      </c>
      <c r="N50">
        <v>3</v>
      </c>
      <c r="O50">
        <v>2.25</v>
      </c>
      <c r="P50">
        <v>2.75</v>
      </c>
      <c r="Q50">
        <v>2.1</v>
      </c>
      <c r="R50">
        <v>3.8</v>
      </c>
      <c r="S50">
        <v>3.2</v>
      </c>
      <c r="T50">
        <v>2.1</v>
      </c>
      <c r="U50">
        <v>3.8</v>
      </c>
      <c r="V50">
        <v>3.25</v>
      </c>
      <c r="W50">
        <v>2.2000000000000002</v>
      </c>
      <c r="X50">
        <v>3.8</v>
      </c>
      <c r="Y50">
        <v>3</v>
      </c>
      <c r="Z50">
        <v>2.2400000000000002</v>
      </c>
      <c r="AA50">
        <v>3.79</v>
      </c>
      <c r="AB50">
        <v>3.14</v>
      </c>
      <c r="AC50">
        <v>2.2000000000000002</v>
      </c>
      <c r="AD50">
        <v>3.7</v>
      </c>
      <c r="AE50">
        <v>3.1</v>
      </c>
      <c r="AF50">
        <v>2.25</v>
      </c>
      <c r="AG50">
        <v>3.8</v>
      </c>
      <c r="AH50">
        <v>3</v>
      </c>
      <c r="AI50">
        <v>2.2999999999999998</v>
      </c>
      <c r="AJ50">
        <v>3.92</v>
      </c>
      <c r="AK50">
        <v>3.33</v>
      </c>
      <c r="AL50">
        <v>2.19</v>
      </c>
      <c r="AM50">
        <v>3.76</v>
      </c>
      <c r="AN50">
        <v>3.11</v>
      </c>
      <c r="AO50">
        <v>1</v>
      </c>
      <c r="AP50">
        <v>0.43909232187186698</v>
      </c>
      <c r="AQ50">
        <v>0.25763069905747299</v>
      </c>
      <c r="AR50">
        <v>0.30327697907065898</v>
      </c>
      <c r="AS50">
        <v>1</v>
      </c>
      <c r="AT50">
        <v>9.9123403052951906E-3</v>
      </c>
      <c r="AU50">
        <v>0.36259072660001901</v>
      </c>
      <c r="AV50">
        <f t="shared" si="5"/>
        <v>33.702318782771052</v>
      </c>
      <c r="AW50">
        <f t="shared" si="6"/>
        <v>14.798429406792796</v>
      </c>
      <c r="AX50">
        <f t="shared" si="7"/>
        <v>8.6827519478631174</v>
      </c>
      <c r="AY50">
        <f t="shared" si="8"/>
        <v>10.22113742811514</v>
      </c>
      <c r="AZ50" cm="1">
        <f t="array" ref="AZ50">_xlfn.IFS(E50="H",AW50*AI50-AV50,E50="D",AX50*AJ50-AV50,E50="A",AY50*AK50-AV50)</f>
        <v>0.33406885285236854</v>
      </c>
      <c r="BA50">
        <f t="shared" si="9"/>
        <v>2.7430144288380367</v>
      </c>
    </row>
    <row r="51" spans="1:53" x14ac:dyDescent="0.2">
      <c r="A51">
        <v>17</v>
      </c>
      <c r="B51" t="s">
        <v>55</v>
      </c>
      <c r="C51" s="1">
        <v>43820</v>
      </c>
      <c r="D51" t="s">
        <v>73</v>
      </c>
      <c r="E51" t="s">
        <v>49</v>
      </c>
      <c r="F51" t="s">
        <v>223</v>
      </c>
      <c r="G51" t="s">
        <v>171</v>
      </c>
      <c r="H51">
        <v>50000</v>
      </c>
      <c r="I51" t="s">
        <v>224</v>
      </c>
      <c r="J51" t="s">
        <v>225</v>
      </c>
      <c r="K51" t="s">
        <v>54</v>
      </c>
      <c r="L51">
        <v>2019</v>
      </c>
      <c r="M51">
        <v>1.75</v>
      </c>
      <c r="N51">
        <v>1.75</v>
      </c>
      <c r="O51">
        <v>1</v>
      </c>
      <c r="P51">
        <v>1.75</v>
      </c>
      <c r="Q51">
        <v>2.0499999999999998</v>
      </c>
      <c r="R51">
        <v>3.75</v>
      </c>
      <c r="S51">
        <v>3.4</v>
      </c>
      <c r="T51">
        <v>2.1</v>
      </c>
      <c r="U51">
        <v>3.7</v>
      </c>
      <c r="V51">
        <v>3.25</v>
      </c>
      <c r="W51">
        <v>2</v>
      </c>
      <c r="X51">
        <v>3.6</v>
      </c>
      <c r="Y51">
        <v>3.6</v>
      </c>
      <c r="Z51">
        <v>2.09</v>
      </c>
      <c r="AA51">
        <v>3.87</v>
      </c>
      <c r="AB51">
        <v>3.39</v>
      </c>
      <c r="AC51">
        <v>2.1</v>
      </c>
      <c r="AD51">
        <v>3.7</v>
      </c>
      <c r="AE51">
        <v>3.3</v>
      </c>
      <c r="AF51">
        <v>2.1</v>
      </c>
      <c r="AG51">
        <v>3.8</v>
      </c>
      <c r="AH51">
        <v>3.25</v>
      </c>
      <c r="AI51">
        <v>2.21</v>
      </c>
      <c r="AJ51">
        <v>3.9</v>
      </c>
      <c r="AK51">
        <v>3.6</v>
      </c>
      <c r="AL51">
        <v>2.08</v>
      </c>
      <c r="AM51">
        <v>3.74</v>
      </c>
      <c r="AN51">
        <v>3.32</v>
      </c>
      <c r="AO51">
        <v>1</v>
      </c>
      <c r="AP51">
        <v>0.45859872611464902</v>
      </c>
      <c r="AQ51">
        <v>0.25987261146496798</v>
      </c>
      <c r="AR51">
        <v>0.28152866242038199</v>
      </c>
      <c r="AS51">
        <v>1</v>
      </c>
      <c r="AT51">
        <v>1.35031847133759E-2</v>
      </c>
      <c r="AU51">
        <v>0.37609391131339498</v>
      </c>
      <c r="AV51">
        <f t="shared" si="5"/>
        <v>36.445333211609089</v>
      </c>
      <c r="AW51">
        <f t="shared" si="6"/>
        <v>16.713783383667863</v>
      </c>
      <c r="AX51">
        <f t="shared" si="7"/>
        <v>9.4711439174117888</v>
      </c>
      <c r="AY51">
        <f t="shared" si="8"/>
        <v>10.260405910529439</v>
      </c>
      <c r="AZ51" cm="1">
        <f t="array" ref="AZ51">_xlfn.IFS(E51="H",AW51*AI51-AV51,E51="D",AX51*AJ51-AV51,E51="A",AY51*AK51-AV51)</f>
        <v>0.49212806629688544</v>
      </c>
      <c r="BA51">
        <f t="shared" si="9"/>
        <v>3.2351424951349221</v>
      </c>
    </row>
    <row r="52" spans="1:53" x14ac:dyDescent="0.2">
      <c r="A52">
        <v>19</v>
      </c>
      <c r="B52" t="s">
        <v>55</v>
      </c>
      <c r="C52" s="1">
        <v>43820</v>
      </c>
      <c r="D52" t="s">
        <v>48</v>
      </c>
      <c r="E52" t="s">
        <v>49</v>
      </c>
      <c r="F52" t="s">
        <v>69</v>
      </c>
      <c r="G52" t="s">
        <v>63</v>
      </c>
      <c r="H52">
        <v>26403</v>
      </c>
      <c r="I52" t="s">
        <v>71</v>
      </c>
      <c r="J52" t="s">
        <v>98</v>
      </c>
      <c r="K52" t="s">
        <v>54</v>
      </c>
      <c r="L52">
        <v>2019</v>
      </c>
      <c r="M52">
        <v>3</v>
      </c>
      <c r="N52">
        <v>2.5</v>
      </c>
      <c r="O52">
        <v>0.5</v>
      </c>
      <c r="P52">
        <v>0.75</v>
      </c>
      <c r="Q52">
        <v>2.0499999999999998</v>
      </c>
      <c r="R52">
        <v>3.4</v>
      </c>
      <c r="S52">
        <v>3.75</v>
      </c>
      <c r="T52">
        <v>2.0499999999999998</v>
      </c>
      <c r="U52">
        <v>3.3</v>
      </c>
      <c r="V52">
        <v>3.8</v>
      </c>
      <c r="W52">
        <v>2.0499999999999998</v>
      </c>
      <c r="X52">
        <v>3.3</v>
      </c>
      <c r="Y52">
        <v>3.9</v>
      </c>
      <c r="Z52">
        <v>2.04</v>
      </c>
      <c r="AA52">
        <v>3.32</v>
      </c>
      <c r="AB52">
        <v>4.17</v>
      </c>
      <c r="AC52">
        <v>2</v>
      </c>
      <c r="AD52">
        <v>3.2</v>
      </c>
      <c r="AE52">
        <v>4</v>
      </c>
      <c r="AF52">
        <v>2</v>
      </c>
      <c r="AG52">
        <v>3.2</v>
      </c>
      <c r="AH52">
        <v>4</v>
      </c>
      <c r="AI52">
        <v>2.13</v>
      </c>
      <c r="AJ52">
        <v>3.43</v>
      </c>
      <c r="AK52">
        <v>4.2</v>
      </c>
      <c r="AL52">
        <v>2.0299999999999998</v>
      </c>
      <c r="AM52">
        <v>3.27</v>
      </c>
      <c r="AN52">
        <v>3.93</v>
      </c>
      <c r="AO52">
        <v>1</v>
      </c>
      <c r="AP52">
        <v>0.46989519830125298</v>
      </c>
      <c r="AQ52">
        <v>0.29180080827453903</v>
      </c>
      <c r="AR52">
        <v>0.23830399342420699</v>
      </c>
      <c r="AS52">
        <v>1</v>
      </c>
      <c r="AT52" s="2">
        <v>8.7677238166983197E-4</v>
      </c>
      <c r="AU52">
        <v>0.37697068369506498</v>
      </c>
      <c r="AV52">
        <f t="shared" si="5"/>
        <v>39.680475706744012</v>
      </c>
      <c r="AW52">
        <f t="shared" si="6"/>
        <v>18.645665000908551</v>
      </c>
      <c r="AX52">
        <f t="shared" si="7"/>
        <v>11.578794883946125</v>
      </c>
      <c r="AY52">
        <f t="shared" si="8"/>
        <v>9.4560158218893378</v>
      </c>
      <c r="AZ52" cm="1">
        <f t="array" ref="AZ52">_xlfn.IFS(E52="H",AW52*AI52-AV52,E52="D",AX52*AJ52-AV52,E52="A",AY52*AK52-AV52)</f>
        <v>3.4790745191202177E-2</v>
      </c>
      <c r="BA52">
        <f t="shared" si="9"/>
        <v>3.2699332403261243</v>
      </c>
    </row>
    <row r="53" spans="1:53" x14ac:dyDescent="0.2">
      <c r="A53">
        <v>18</v>
      </c>
      <c r="B53" t="s">
        <v>67</v>
      </c>
      <c r="C53" s="1">
        <v>43821</v>
      </c>
      <c r="D53" t="s">
        <v>226</v>
      </c>
      <c r="E53" t="s">
        <v>74</v>
      </c>
      <c r="F53" t="s">
        <v>227</v>
      </c>
      <c r="G53" t="s">
        <v>91</v>
      </c>
      <c r="H53">
        <v>61104</v>
      </c>
      <c r="I53" t="s">
        <v>228</v>
      </c>
      <c r="J53" t="s">
        <v>129</v>
      </c>
      <c r="K53" t="s">
        <v>54</v>
      </c>
      <c r="L53">
        <v>2019</v>
      </c>
      <c r="M53">
        <v>2</v>
      </c>
      <c r="N53">
        <v>2.5</v>
      </c>
      <c r="O53">
        <v>1.5</v>
      </c>
      <c r="P53">
        <v>2</v>
      </c>
      <c r="Q53">
        <v>2.37</v>
      </c>
      <c r="R53">
        <v>3.75</v>
      </c>
      <c r="S53">
        <v>2.75</v>
      </c>
      <c r="T53">
        <v>2.2999999999999998</v>
      </c>
      <c r="U53">
        <v>3.7</v>
      </c>
      <c r="V53">
        <v>2.9</v>
      </c>
      <c r="W53">
        <v>2.2999999999999998</v>
      </c>
      <c r="X53">
        <v>3.4</v>
      </c>
      <c r="Y53">
        <v>3.05</v>
      </c>
      <c r="Z53">
        <v>2.41</v>
      </c>
      <c r="AA53">
        <v>3.67</v>
      </c>
      <c r="AB53">
        <v>2.92</v>
      </c>
      <c r="AC53">
        <v>2.35</v>
      </c>
      <c r="AD53">
        <v>3.6</v>
      </c>
      <c r="AE53">
        <v>2.88</v>
      </c>
      <c r="AF53">
        <v>2.38</v>
      </c>
      <c r="AG53">
        <v>3.6</v>
      </c>
      <c r="AH53">
        <v>2.88</v>
      </c>
      <c r="AI53">
        <v>2.4500000000000002</v>
      </c>
      <c r="AJ53">
        <v>3.79</v>
      </c>
      <c r="AK53">
        <v>3.05</v>
      </c>
      <c r="AL53">
        <v>2.37</v>
      </c>
      <c r="AM53">
        <v>3.65</v>
      </c>
      <c r="AN53">
        <v>2.88</v>
      </c>
      <c r="AO53">
        <v>1</v>
      </c>
      <c r="AP53">
        <v>0.40821047055707499</v>
      </c>
      <c r="AQ53">
        <v>0.26388275801182998</v>
      </c>
      <c r="AR53">
        <v>0.32790677143109298</v>
      </c>
      <c r="AS53">
        <v>1</v>
      </c>
      <c r="AT53" s="2">
        <v>1.1565286483650099E-4</v>
      </c>
      <c r="AU53">
        <v>0.37708633655990198</v>
      </c>
      <c r="AV53">
        <f t="shared" si="5"/>
        <v>42.950408947070137</v>
      </c>
      <c r="AW53">
        <f t="shared" si="6"/>
        <v>17.532806646902348</v>
      </c>
      <c r="AX53">
        <f t="shared" si="7"/>
        <v>11.333872370688853</v>
      </c>
      <c r="AY53">
        <f t="shared" si="8"/>
        <v>14.083729929478938</v>
      </c>
      <c r="AZ53" cm="1">
        <f t="array" ref="AZ53">_xlfn.IFS(E53="H",AW53*AI53-AV53,E53="D",AX53*AJ53-AV53,E53="A",AY53*AK53-AV53)</f>
        <v>4.9673378406183133E-3</v>
      </c>
      <c r="BA53">
        <f t="shared" si="9"/>
        <v>3.2749005781667426</v>
      </c>
    </row>
    <row r="54" spans="1:53" x14ac:dyDescent="0.2">
      <c r="A54">
        <v>19</v>
      </c>
      <c r="B54" t="s">
        <v>229</v>
      </c>
      <c r="C54" s="1">
        <v>43825</v>
      </c>
      <c r="D54" t="s">
        <v>90</v>
      </c>
      <c r="E54" t="s">
        <v>57</v>
      </c>
      <c r="F54" t="s">
        <v>92</v>
      </c>
      <c r="G54" t="s">
        <v>230</v>
      </c>
      <c r="H54">
        <v>30222</v>
      </c>
      <c r="I54" t="s">
        <v>231</v>
      </c>
      <c r="J54" t="s">
        <v>232</v>
      </c>
      <c r="K54" t="s">
        <v>54</v>
      </c>
      <c r="L54">
        <v>2019</v>
      </c>
      <c r="M54">
        <v>1.75</v>
      </c>
      <c r="N54">
        <v>2</v>
      </c>
      <c r="O54">
        <v>0.75</v>
      </c>
      <c r="P54">
        <v>0.75</v>
      </c>
      <c r="Q54">
        <v>1.83</v>
      </c>
      <c r="R54">
        <v>3.6</v>
      </c>
      <c r="S54">
        <v>4.33</v>
      </c>
      <c r="T54">
        <v>1.85</v>
      </c>
      <c r="U54">
        <v>3.5</v>
      </c>
      <c r="V54">
        <v>4.5</v>
      </c>
      <c r="W54">
        <v>1.85</v>
      </c>
      <c r="X54">
        <v>3.5</v>
      </c>
      <c r="Y54">
        <v>4.45</v>
      </c>
      <c r="Z54">
        <v>1.9</v>
      </c>
      <c r="AA54">
        <v>3.58</v>
      </c>
      <c r="AB54">
        <v>4.49</v>
      </c>
      <c r="AC54">
        <v>1.85</v>
      </c>
      <c r="AD54">
        <v>3.5</v>
      </c>
      <c r="AE54">
        <v>4.4000000000000004</v>
      </c>
      <c r="AF54">
        <v>1.83</v>
      </c>
      <c r="AG54">
        <v>3.5</v>
      </c>
      <c r="AH54">
        <v>4.5999999999999996</v>
      </c>
      <c r="AI54">
        <v>1.95</v>
      </c>
      <c r="AJ54">
        <v>3.7</v>
      </c>
      <c r="AK54">
        <v>4.6500000000000004</v>
      </c>
      <c r="AL54">
        <v>1.86</v>
      </c>
      <c r="AM54">
        <v>3.54</v>
      </c>
      <c r="AN54">
        <v>4.46</v>
      </c>
      <c r="AO54">
        <v>1</v>
      </c>
      <c r="AP54">
        <v>0.51377379619260899</v>
      </c>
      <c r="AQ54">
        <v>0.27077267637177999</v>
      </c>
      <c r="AR54">
        <v>0.21545352743561</v>
      </c>
      <c r="AS54">
        <v>1</v>
      </c>
      <c r="AT54">
        <v>1.85890257558773E-3</v>
      </c>
      <c r="AU54">
        <v>0.378945239135489</v>
      </c>
      <c r="AV54">
        <f t="shared" si="5"/>
        <v>46.225309525236881</v>
      </c>
      <c r="AW54">
        <f t="shared" si="6"/>
        <v>23.749352754959332</v>
      </c>
      <c r="AX54">
        <f t="shared" si="7"/>
        <v>12.516550776262347</v>
      </c>
      <c r="AY54">
        <f t="shared" si="8"/>
        <v>9.9594059940152011</v>
      </c>
      <c r="AZ54" cm="1">
        <f t="array" ref="AZ54">_xlfn.IFS(E54="H",AW54*AI54-AV54,E54="D",AX54*AJ54-AV54,E54="A",AY54*AK54-AV54)</f>
        <v>8.5928346933805244E-2</v>
      </c>
      <c r="BA54">
        <f t="shared" si="9"/>
        <v>3.3608289251005479</v>
      </c>
    </row>
    <row r="55" spans="1:53" x14ac:dyDescent="0.2">
      <c r="A55">
        <v>24</v>
      </c>
      <c r="B55" t="s">
        <v>130</v>
      </c>
      <c r="C55" s="1">
        <v>43851</v>
      </c>
      <c r="D55" t="s">
        <v>203</v>
      </c>
      <c r="E55" t="s">
        <v>49</v>
      </c>
      <c r="F55" t="s">
        <v>213</v>
      </c>
      <c r="G55" t="s">
        <v>230</v>
      </c>
      <c r="H55">
        <v>40867</v>
      </c>
      <c r="I55" t="s">
        <v>214</v>
      </c>
      <c r="J55" t="s">
        <v>233</v>
      </c>
      <c r="K55" t="s">
        <v>54</v>
      </c>
      <c r="L55">
        <v>2020</v>
      </c>
      <c r="M55">
        <v>0</v>
      </c>
      <c r="N55">
        <v>1</v>
      </c>
      <c r="O55">
        <v>3</v>
      </c>
      <c r="P55">
        <v>3</v>
      </c>
      <c r="Q55">
        <v>2.8</v>
      </c>
      <c r="R55">
        <v>3.5</v>
      </c>
      <c r="S55">
        <v>2.4500000000000002</v>
      </c>
      <c r="T55">
        <v>2.9</v>
      </c>
      <c r="U55">
        <v>3.5</v>
      </c>
      <c r="V55">
        <v>2.4500000000000002</v>
      </c>
      <c r="W55">
        <v>2.8</v>
      </c>
      <c r="X55">
        <v>3.4</v>
      </c>
      <c r="Y55">
        <v>2.5</v>
      </c>
      <c r="Z55">
        <v>2.87</v>
      </c>
      <c r="AA55">
        <v>3.47</v>
      </c>
      <c r="AB55">
        <v>2.54</v>
      </c>
      <c r="AC55">
        <v>2.8</v>
      </c>
      <c r="AD55">
        <v>3.4</v>
      </c>
      <c r="AE55">
        <v>2.5</v>
      </c>
      <c r="AF55">
        <v>2.9</v>
      </c>
      <c r="AG55">
        <v>3.4</v>
      </c>
      <c r="AH55">
        <v>2.5</v>
      </c>
      <c r="AI55">
        <v>3</v>
      </c>
      <c r="AJ55">
        <v>3.65</v>
      </c>
      <c r="AK55">
        <v>2.58</v>
      </c>
      <c r="AL55">
        <v>2.86</v>
      </c>
      <c r="AM55">
        <v>3.46</v>
      </c>
      <c r="AN55">
        <v>2.4900000000000002</v>
      </c>
      <c r="AO55">
        <v>1</v>
      </c>
      <c r="AP55">
        <v>0.33504109296616502</v>
      </c>
      <c r="AQ55">
        <v>0.275376240794108</v>
      </c>
      <c r="AR55">
        <v>0.38958266623972598</v>
      </c>
      <c r="AS55">
        <v>1</v>
      </c>
      <c r="AT55">
        <v>5.12327889849517E-3</v>
      </c>
      <c r="AU55">
        <v>0.38406851803398401</v>
      </c>
      <c r="AV55">
        <f t="shared" si="5"/>
        <v>49.58613845033743</v>
      </c>
      <c r="AW55">
        <f t="shared" si="6"/>
        <v>16.613394022372631</v>
      </c>
      <c r="AX55">
        <f t="shared" si="7"/>
        <v>13.654844401950109</v>
      </c>
      <c r="AY55">
        <f t="shared" si="8"/>
        <v>19.317900026014691</v>
      </c>
      <c r="AZ55" cm="1">
        <f t="array" ref="AZ55">_xlfn.IFS(E55="H",AW55*AI55-AV55,E55="D",AX55*AJ55-AV55,E55="A",AY55*AK55-AV55)</f>
        <v>0.25404361678046428</v>
      </c>
      <c r="BA55">
        <f t="shared" si="9"/>
        <v>3.6148725418810121</v>
      </c>
    </row>
    <row r="56" spans="1:53" x14ac:dyDescent="0.2">
      <c r="A56">
        <v>24</v>
      </c>
      <c r="B56" t="s">
        <v>130</v>
      </c>
      <c r="C56" s="1">
        <v>43851</v>
      </c>
      <c r="D56" t="s">
        <v>234</v>
      </c>
      <c r="E56" t="s">
        <v>57</v>
      </c>
      <c r="F56" t="s">
        <v>91</v>
      </c>
      <c r="G56" t="s">
        <v>178</v>
      </c>
      <c r="H56">
        <v>40577</v>
      </c>
      <c r="I56" t="s">
        <v>93</v>
      </c>
      <c r="J56" t="s">
        <v>94</v>
      </c>
      <c r="K56" t="s">
        <v>54</v>
      </c>
      <c r="L56">
        <v>2020</v>
      </c>
      <c r="M56">
        <v>3</v>
      </c>
      <c r="N56">
        <v>3</v>
      </c>
      <c r="O56">
        <v>1</v>
      </c>
      <c r="P56">
        <v>1</v>
      </c>
      <c r="Q56">
        <v>1.72</v>
      </c>
      <c r="R56">
        <v>3.9</v>
      </c>
      <c r="S56">
        <v>4.5</v>
      </c>
      <c r="T56">
        <v>1.75</v>
      </c>
      <c r="U56">
        <v>3.9</v>
      </c>
      <c r="V56">
        <v>4.75</v>
      </c>
      <c r="W56">
        <v>1.75</v>
      </c>
      <c r="X56">
        <v>3.9</v>
      </c>
      <c r="Y56">
        <v>4.4000000000000004</v>
      </c>
      <c r="Z56">
        <v>1.74</v>
      </c>
      <c r="AA56">
        <v>4.01</v>
      </c>
      <c r="AB56">
        <v>4.82</v>
      </c>
      <c r="AC56">
        <v>1.73</v>
      </c>
      <c r="AD56">
        <v>3.9</v>
      </c>
      <c r="AE56">
        <v>4.5999999999999996</v>
      </c>
      <c r="AF56">
        <v>1.73</v>
      </c>
      <c r="AG56">
        <v>3.9</v>
      </c>
      <c r="AH56">
        <v>4.8</v>
      </c>
      <c r="AI56">
        <v>1.79</v>
      </c>
      <c r="AJ56">
        <v>4.0999999999999996</v>
      </c>
      <c r="AK56">
        <v>5.2</v>
      </c>
      <c r="AL56">
        <v>1.74</v>
      </c>
      <c r="AM56">
        <v>3.95</v>
      </c>
      <c r="AN56">
        <v>4.71</v>
      </c>
      <c r="AO56">
        <v>1</v>
      </c>
      <c r="AP56">
        <v>0.56154028498432795</v>
      </c>
      <c r="AQ56">
        <v>0.24516027076145</v>
      </c>
      <c r="AR56">
        <v>0.19329944425421999</v>
      </c>
      <c r="AS56">
        <v>1</v>
      </c>
      <c r="AT56">
        <v>5.1571101219480796E-3</v>
      </c>
      <c r="AU56">
        <v>0.38922562815593298</v>
      </c>
      <c r="AV56">
        <f t="shared" si="5"/>
        <v>53.201010992218443</v>
      </c>
      <c r="AW56">
        <f t="shared" si="6"/>
        <v>29.874510874024736</v>
      </c>
      <c r="AX56">
        <f t="shared" si="7"/>
        <v>13.042774259635191</v>
      </c>
      <c r="AY56">
        <f t="shared" si="8"/>
        <v>10.283725858558515</v>
      </c>
      <c r="AZ56" cm="1">
        <f t="array" ref="AZ56">_xlfn.IFS(E56="H",AW56*AI56-AV56,E56="D",AX56*AJ56-AV56,E56="A",AY56*AK56-AV56)</f>
        <v>0.27436347228583458</v>
      </c>
      <c r="BA56">
        <f t="shared" si="9"/>
        <v>3.8892360141668467</v>
      </c>
    </row>
    <row r="57" spans="1:53" x14ac:dyDescent="0.2">
      <c r="A57">
        <v>21</v>
      </c>
      <c r="B57" t="s">
        <v>67</v>
      </c>
      <c r="C57" s="1">
        <v>43856</v>
      </c>
      <c r="D57" t="s">
        <v>235</v>
      </c>
      <c r="E57" t="s">
        <v>49</v>
      </c>
      <c r="F57" t="s">
        <v>162</v>
      </c>
      <c r="G57" t="s">
        <v>236</v>
      </c>
      <c r="H57">
        <v>13244</v>
      </c>
      <c r="I57" t="s">
        <v>237</v>
      </c>
      <c r="J57" t="s">
        <v>238</v>
      </c>
      <c r="K57" t="s">
        <v>54</v>
      </c>
      <c r="L57">
        <v>2020</v>
      </c>
      <c r="M57">
        <v>0</v>
      </c>
      <c r="N57">
        <v>0</v>
      </c>
      <c r="O57">
        <v>1</v>
      </c>
      <c r="P57">
        <v>1</v>
      </c>
      <c r="Q57">
        <v>2.0499999999999998</v>
      </c>
      <c r="R57">
        <v>3.3</v>
      </c>
      <c r="S57">
        <v>3.8</v>
      </c>
      <c r="T57">
        <v>2.1</v>
      </c>
      <c r="U57">
        <v>3.25</v>
      </c>
      <c r="V57">
        <v>3.8</v>
      </c>
      <c r="W57">
        <v>2.0499999999999998</v>
      </c>
      <c r="X57">
        <v>3.3</v>
      </c>
      <c r="Y57">
        <v>3.95</v>
      </c>
      <c r="Z57">
        <v>2.0499999999999998</v>
      </c>
      <c r="AA57">
        <v>3.36</v>
      </c>
      <c r="AB57">
        <v>4.07</v>
      </c>
      <c r="AC57">
        <v>2</v>
      </c>
      <c r="AD57">
        <v>3.3</v>
      </c>
      <c r="AE57">
        <v>4</v>
      </c>
      <c r="AF57">
        <v>2.0499999999999998</v>
      </c>
      <c r="AG57">
        <v>3.3</v>
      </c>
      <c r="AH57">
        <v>3.8</v>
      </c>
      <c r="AI57">
        <v>2.13</v>
      </c>
      <c r="AJ57">
        <v>3.43</v>
      </c>
      <c r="AK57">
        <v>4.2</v>
      </c>
      <c r="AL57">
        <v>2.0299999999999998</v>
      </c>
      <c r="AM57">
        <v>3.3</v>
      </c>
      <c r="AN57">
        <v>3.94</v>
      </c>
      <c r="AO57">
        <v>1</v>
      </c>
      <c r="AP57">
        <v>0.46989519830125298</v>
      </c>
      <c r="AQ57">
        <v>0.29180080827453903</v>
      </c>
      <c r="AR57">
        <v>0.23830399342420699</v>
      </c>
      <c r="AS57">
        <v>1</v>
      </c>
      <c r="AT57" s="2">
        <v>8.7677238166983197E-4</v>
      </c>
      <c r="AU57">
        <v>0.39010240053760198</v>
      </c>
      <c r="AV57">
        <f t="shared" si="5"/>
        <v>57.09024700638529</v>
      </c>
      <c r="AW57">
        <f t="shared" si="6"/>
        <v>26.82643293813296</v>
      </c>
      <c r="AX57">
        <f t="shared" si="7"/>
        <v>16.658980221056328</v>
      </c>
      <c r="AY57">
        <f t="shared" si="8"/>
        <v>13.604833847196003</v>
      </c>
      <c r="AZ57" cm="1">
        <f t="array" ref="AZ57">_xlfn.IFS(E57="H",AW57*AI57-AV57,E57="D",AX57*AJ57-AV57,E57="A",AY57*AK57-AV57)</f>
        <v>5.0055151837909762E-2</v>
      </c>
      <c r="BA57">
        <f t="shared" si="9"/>
        <v>3.9392911660047565</v>
      </c>
    </row>
    <row r="58" spans="1:53" x14ac:dyDescent="0.2">
      <c r="A58">
        <v>20</v>
      </c>
      <c r="B58" t="s">
        <v>55</v>
      </c>
      <c r="C58" s="1">
        <v>43862</v>
      </c>
      <c r="D58" t="s">
        <v>73</v>
      </c>
      <c r="E58" t="s">
        <v>57</v>
      </c>
      <c r="F58" t="s">
        <v>239</v>
      </c>
      <c r="G58" t="s">
        <v>200</v>
      </c>
      <c r="H58">
        <v>45018</v>
      </c>
      <c r="I58" t="s">
        <v>240</v>
      </c>
      <c r="J58" t="s">
        <v>120</v>
      </c>
      <c r="K58" t="s">
        <v>54</v>
      </c>
      <c r="L58">
        <v>2020</v>
      </c>
      <c r="M58">
        <v>0</v>
      </c>
      <c r="N58">
        <v>0</v>
      </c>
      <c r="O58">
        <v>3</v>
      </c>
      <c r="P58">
        <v>2</v>
      </c>
      <c r="Q58">
        <v>3.5</v>
      </c>
      <c r="R58">
        <v>3.6</v>
      </c>
      <c r="S58">
        <v>2.0499999999999998</v>
      </c>
      <c r="T58">
        <v>3.3</v>
      </c>
      <c r="U58">
        <v>3.7</v>
      </c>
      <c r="V58">
        <v>2.1</v>
      </c>
      <c r="W58">
        <v>3.35</v>
      </c>
      <c r="X58">
        <v>3.7</v>
      </c>
      <c r="Y58">
        <v>2.0499999999999998</v>
      </c>
      <c r="Z58">
        <v>3.37</v>
      </c>
      <c r="AA58">
        <v>3.81</v>
      </c>
      <c r="AB58">
        <v>2.11</v>
      </c>
      <c r="AC58">
        <v>3.3</v>
      </c>
      <c r="AD58">
        <v>3.8</v>
      </c>
      <c r="AE58">
        <v>2.0499999999999998</v>
      </c>
      <c r="AF58">
        <v>3.3</v>
      </c>
      <c r="AG58">
        <v>3.8</v>
      </c>
      <c r="AH58">
        <v>2.1</v>
      </c>
      <c r="AI58">
        <v>3.54</v>
      </c>
      <c r="AJ58">
        <v>3.9</v>
      </c>
      <c r="AK58">
        <v>2.2000000000000002</v>
      </c>
      <c r="AL58">
        <v>3.35</v>
      </c>
      <c r="AM58">
        <v>3.71</v>
      </c>
      <c r="AN58">
        <v>2.08</v>
      </c>
      <c r="AO58">
        <v>1</v>
      </c>
      <c r="AP58">
        <v>0.28435076555975303</v>
      </c>
      <c r="AQ58">
        <v>0.25810300258500701</v>
      </c>
      <c r="AR58">
        <v>0.45754623185523902</v>
      </c>
      <c r="AS58">
        <v>1</v>
      </c>
      <c r="AT58">
        <v>6.60171008152743E-3</v>
      </c>
      <c r="AU58">
        <v>0.39670411061913002</v>
      </c>
      <c r="AV58">
        <f t="shared" si="5"/>
        <v>61.029538172390048</v>
      </c>
      <c r="AW58">
        <f t="shared" si="6"/>
        <v>17.353795901077305</v>
      </c>
      <c r="AX58">
        <f t="shared" si="7"/>
        <v>15.751907048670171</v>
      </c>
      <c r="AY58">
        <f t="shared" si="8"/>
        <v>27.923835222642573</v>
      </c>
      <c r="AZ58" cm="1">
        <f t="array" ref="AZ58">_xlfn.IFS(E58="H",AW58*AI58-AV58,E58="D",AX58*AJ58-AV58,E58="A",AY58*AK58-AV58)</f>
        <v>0.40289931742361773</v>
      </c>
      <c r="BA58">
        <f t="shared" si="9"/>
        <v>4.3421904834283742</v>
      </c>
    </row>
    <row r="59" spans="1:53" x14ac:dyDescent="0.2">
      <c r="A59">
        <v>22</v>
      </c>
      <c r="B59" t="s">
        <v>55</v>
      </c>
      <c r="C59" s="1">
        <v>43862</v>
      </c>
      <c r="D59" t="s">
        <v>183</v>
      </c>
      <c r="E59" t="s">
        <v>49</v>
      </c>
      <c r="F59" t="s">
        <v>241</v>
      </c>
      <c r="G59" t="s">
        <v>131</v>
      </c>
      <c r="H59">
        <v>21665</v>
      </c>
      <c r="I59" t="s">
        <v>242</v>
      </c>
      <c r="J59" t="s">
        <v>196</v>
      </c>
      <c r="K59" t="s">
        <v>54</v>
      </c>
      <c r="L59">
        <v>2020</v>
      </c>
      <c r="M59">
        <v>1</v>
      </c>
      <c r="N59">
        <v>1</v>
      </c>
      <c r="O59">
        <v>0</v>
      </c>
      <c r="P59">
        <v>1</v>
      </c>
      <c r="Q59">
        <v>1.66</v>
      </c>
      <c r="R59">
        <v>4</v>
      </c>
      <c r="S59">
        <v>5</v>
      </c>
      <c r="T59">
        <v>1.7</v>
      </c>
      <c r="U59">
        <v>4.0999999999999996</v>
      </c>
      <c r="V59">
        <v>4.5999999999999996</v>
      </c>
      <c r="W59">
        <v>1.7</v>
      </c>
      <c r="X59">
        <v>4</v>
      </c>
      <c r="Y59">
        <v>4.75</v>
      </c>
      <c r="Z59">
        <v>1.7</v>
      </c>
      <c r="AA59">
        <v>4.13</v>
      </c>
      <c r="AB59">
        <v>4.92</v>
      </c>
      <c r="AC59">
        <v>1.65</v>
      </c>
      <c r="AD59">
        <v>4</v>
      </c>
      <c r="AE59">
        <v>4.8</v>
      </c>
      <c r="AF59">
        <v>1.7</v>
      </c>
      <c r="AG59">
        <v>3.8</v>
      </c>
      <c r="AH59">
        <v>5.2</v>
      </c>
      <c r="AI59">
        <v>1.77</v>
      </c>
      <c r="AJ59">
        <v>4.2</v>
      </c>
      <c r="AK59">
        <v>5.2</v>
      </c>
      <c r="AL59">
        <v>1.69</v>
      </c>
      <c r="AM59">
        <v>4.01</v>
      </c>
      <c r="AN59">
        <v>4.79</v>
      </c>
      <c r="AO59">
        <v>1</v>
      </c>
      <c r="AP59">
        <v>0.56759706845470104</v>
      </c>
      <c r="AQ59">
        <v>0.239201621705909</v>
      </c>
      <c r="AR59">
        <v>0.19320130983938799</v>
      </c>
      <c r="AS59">
        <v>1</v>
      </c>
      <c r="AT59">
        <v>4.6468111648214601E-3</v>
      </c>
      <c r="AU59">
        <v>0.40135092178395099</v>
      </c>
      <c r="AV59">
        <f t="shared" si="5"/>
        <v>65.371728655818416</v>
      </c>
      <c r="AW59">
        <f t="shared" si="6"/>
        <v>37.104801544858731</v>
      </c>
      <c r="AX59">
        <f t="shared" si="7"/>
        <v>15.637023508190465</v>
      </c>
      <c r="AY59">
        <f t="shared" si="8"/>
        <v>12.629903602769222</v>
      </c>
      <c r="AZ59" cm="1">
        <f t="array" ref="AZ59">_xlfn.IFS(E59="H",AW59*AI59-AV59,E59="D",AX59*AJ59-AV59,E59="A",AY59*AK59-AV59)</f>
        <v>0.30377007858153604</v>
      </c>
      <c r="BA59">
        <f t="shared" si="9"/>
        <v>4.6459605620099103</v>
      </c>
    </row>
    <row r="60" spans="1:53" x14ac:dyDescent="0.2">
      <c r="A60">
        <v>22</v>
      </c>
      <c r="B60" t="s">
        <v>67</v>
      </c>
      <c r="C60" s="1">
        <v>43863</v>
      </c>
      <c r="D60" t="s">
        <v>183</v>
      </c>
      <c r="E60" t="s">
        <v>57</v>
      </c>
      <c r="F60" t="s">
        <v>243</v>
      </c>
      <c r="G60" t="s">
        <v>142</v>
      </c>
      <c r="H60">
        <v>55355</v>
      </c>
      <c r="I60" t="s">
        <v>244</v>
      </c>
      <c r="J60" t="s">
        <v>111</v>
      </c>
      <c r="K60" t="s">
        <v>54</v>
      </c>
      <c r="L60">
        <v>2020</v>
      </c>
      <c r="M60">
        <v>2</v>
      </c>
      <c r="N60">
        <v>1.5</v>
      </c>
      <c r="O60">
        <v>2</v>
      </c>
      <c r="P60">
        <v>1.5</v>
      </c>
      <c r="Q60">
        <v>1.66</v>
      </c>
      <c r="R60">
        <v>3.6</v>
      </c>
      <c r="S60">
        <v>5.75</v>
      </c>
      <c r="T60">
        <v>1.62</v>
      </c>
      <c r="U60">
        <v>3.8</v>
      </c>
      <c r="V60">
        <v>5.75</v>
      </c>
      <c r="W60">
        <v>1.67</v>
      </c>
      <c r="X60">
        <v>3.75</v>
      </c>
      <c r="Y60">
        <v>5.5</v>
      </c>
      <c r="Z60">
        <v>1.66</v>
      </c>
      <c r="AA60">
        <v>3.69</v>
      </c>
      <c r="AB60">
        <v>6.24</v>
      </c>
      <c r="AC60">
        <v>1.6</v>
      </c>
      <c r="AD60">
        <v>3.75</v>
      </c>
      <c r="AE60">
        <v>5.8</v>
      </c>
      <c r="AF60">
        <v>1.6</v>
      </c>
      <c r="AG60">
        <v>3.6</v>
      </c>
      <c r="AH60">
        <v>5.75</v>
      </c>
      <c r="AI60">
        <v>1.69</v>
      </c>
      <c r="AJ60">
        <v>3.94</v>
      </c>
      <c r="AK60">
        <v>6.5</v>
      </c>
      <c r="AL60">
        <v>1.64</v>
      </c>
      <c r="AM60">
        <v>3.72</v>
      </c>
      <c r="AN60">
        <v>5.85</v>
      </c>
      <c r="AO60">
        <v>1</v>
      </c>
      <c r="AP60">
        <v>0.59208944457802304</v>
      </c>
      <c r="AQ60">
        <v>0.25396729983168997</v>
      </c>
      <c r="AR60">
        <v>0.15394325559028599</v>
      </c>
      <c r="AS60">
        <v>1</v>
      </c>
      <c r="AT60" s="2">
        <v>6.31161336859698E-4</v>
      </c>
      <c r="AU60">
        <v>0.40198208312081102</v>
      </c>
      <c r="AV60">
        <f t="shared" si="5"/>
        <v>70.01768921782832</v>
      </c>
      <c r="AW60">
        <f t="shared" si="6"/>
        <v>41.456734719620641</v>
      </c>
      <c r="AX60">
        <f t="shared" si="7"/>
        <v>17.782203471106314</v>
      </c>
      <c r="AY60">
        <f t="shared" si="8"/>
        <v>10.778751027101364</v>
      </c>
      <c r="AZ60" cm="1">
        <f t="array" ref="AZ60">_xlfn.IFS(E60="H",AW60*AI60-AV60,E60="D",AX60*AJ60-AV60,E60="A",AY60*AK60-AV60)</f>
        <v>4.4192458330556406E-2</v>
      </c>
      <c r="BA60">
        <f t="shared" si="9"/>
        <v>4.6901530203404667</v>
      </c>
    </row>
    <row r="61" spans="1:53" x14ac:dyDescent="0.2">
      <c r="A61">
        <v>25</v>
      </c>
      <c r="B61" t="s">
        <v>67</v>
      </c>
      <c r="C61" s="1">
        <v>43863</v>
      </c>
      <c r="D61" t="s">
        <v>226</v>
      </c>
      <c r="E61" t="s">
        <v>49</v>
      </c>
      <c r="F61" t="s">
        <v>227</v>
      </c>
      <c r="G61" t="s">
        <v>101</v>
      </c>
      <c r="H61">
        <v>61022</v>
      </c>
      <c r="I61" t="s">
        <v>228</v>
      </c>
      <c r="J61" t="s">
        <v>219</v>
      </c>
      <c r="K61" t="s">
        <v>54</v>
      </c>
      <c r="L61">
        <v>2020</v>
      </c>
      <c r="M61">
        <v>1.5</v>
      </c>
      <c r="N61">
        <v>1</v>
      </c>
      <c r="O61">
        <v>3</v>
      </c>
      <c r="P61">
        <v>3.5</v>
      </c>
      <c r="Q61">
        <v>5.5</v>
      </c>
      <c r="R61">
        <v>4.5999999999999996</v>
      </c>
      <c r="S61">
        <v>1.53</v>
      </c>
      <c r="T61">
        <v>5.75</v>
      </c>
      <c r="U61">
        <v>4.5</v>
      </c>
      <c r="V61">
        <v>1.53</v>
      </c>
      <c r="W61">
        <v>5.3</v>
      </c>
      <c r="X61">
        <v>4.4000000000000004</v>
      </c>
      <c r="Y61">
        <v>1.57</v>
      </c>
      <c r="Z61">
        <v>5.7</v>
      </c>
      <c r="AA61">
        <v>4.4800000000000004</v>
      </c>
      <c r="AB61">
        <v>1.58</v>
      </c>
      <c r="AC61">
        <v>5.8</v>
      </c>
      <c r="AD61">
        <v>4.33</v>
      </c>
      <c r="AE61">
        <v>1.55</v>
      </c>
      <c r="AF61">
        <v>5.75</v>
      </c>
      <c r="AG61">
        <v>4.5</v>
      </c>
      <c r="AH61">
        <v>1.53</v>
      </c>
      <c r="AI61">
        <v>6</v>
      </c>
      <c r="AJ61">
        <v>4.75</v>
      </c>
      <c r="AK61">
        <v>1.62</v>
      </c>
      <c r="AL61">
        <v>5.64</v>
      </c>
      <c r="AM61">
        <v>4.45</v>
      </c>
      <c r="AN61">
        <v>1.56</v>
      </c>
      <c r="AO61">
        <v>1</v>
      </c>
      <c r="AP61">
        <v>0.16759229010127399</v>
      </c>
      <c r="AQ61">
        <v>0.21169552433845101</v>
      </c>
      <c r="AR61">
        <v>0.62071218556027397</v>
      </c>
      <c r="AS61">
        <v>1</v>
      </c>
      <c r="AT61">
        <v>5.5537406076449003E-3</v>
      </c>
      <c r="AU61">
        <v>0.40753582372845598</v>
      </c>
      <c r="AV61">
        <f t="shared" si="5"/>
        <v>74.70784223816878</v>
      </c>
      <c r="AW61">
        <f t="shared" si="6"/>
        <v>12.520458369219401</v>
      </c>
      <c r="AX61">
        <f t="shared" si="7"/>
        <v>15.815315834803455</v>
      </c>
      <c r="AY61">
        <f t="shared" si="8"/>
        <v>46.372068034145926</v>
      </c>
      <c r="AZ61" cm="1">
        <f t="array" ref="AZ61">_xlfn.IFS(E61="H",AW61*AI61-AV61,E61="D",AX61*AJ61-AV61,E61="A",AY61*AK61-AV61)</f>
        <v>0.41490797714763517</v>
      </c>
      <c r="BA61">
        <f t="shared" si="9"/>
        <v>5.1050609974881018</v>
      </c>
    </row>
    <row r="62" spans="1:53" x14ac:dyDescent="0.2">
      <c r="A62">
        <v>24</v>
      </c>
      <c r="B62" t="s">
        <v>55</v>
      </c>
      <c r="C62" s="1">
        <v>43869</v>
      </c>
      <c r="D62" t="s">
        <v>62</v>
      </c>
      <c r="E62" t="s">
        <v>74</v>
      </c>
      <c r="F62" t="s">
        <v>104</v>
      </c>
      <c r="G62" t="s">
        <v>95</v>
      </c>
      <c r="H62">
        <v>15603</v>
      </c>
      <c r="I62" t="s">
        <v>245</v>
      </c>
      <c r="J62" t="s">
        <v>72</v>
      </c>
      <c r="K62" t="s">
        <v>54</v>
      </c>
      <c r="L62">
        <v>2020</v>
      </c>
      <c r="M62">
        <v>2</v>
      </c>
      <c r="N62">
        <v>1.5</v>
      </c>
      <c r="O62">
        <v>0</v>
      </c>
      <c r="P62">
        <v>1</v>
      </c>
      <c r="Q62">
        <v>1.95</v>
      </c>
      <c r="R62">
        <v>3.5</v>
      </c>
      <c r="S62">
        <v>4</v>
      </c>
      <c r="T62">
        <v>1.95</v>
      </c>
      <c r="U62">
        <v>3.5</v>
      </c>
      <c r="V62">
        <v>4</v>
      </c>
      <c r="W62">
        <v>1.95</v>
      </c>
      <c r="X62">
        <v>3.5</v>
      </c>
      <c r="Y62">
        <v>4</v>
      </c>
      <c r="Z62">
        <v>1.95</v>
      </c>
      <c r="AA62">
        <v>3.62</v>
      </c>
      <c r="AB62">
        <v>4.1100000000000003</v>
      </c>
      <c r="AC62">
        <v>1.91</v>
      </c>
      <c r="AD62">
        <v>3.5</v>
      </c>
      <c r="AE62">
        <v>4</v>
      </c>
      <c r="AF62">
        <v>1.91</v>
      </c>
      <c r="AG62">
        <v>3.4</v>
      </c>
      <c r="AH62">
        <v>4.0999999999999996</v>
      </c>
      <c r="AI62">
        <v>2.06</v>
      </c>
      <c r="AJ62">
        <v>3.65</v>
      </c>
      <c r="AK62">
        <v>4.2</v>
      </c>
      <c r="AL62">
        <v>1.94</v>
      </c>
      <c r="AM62">
        <v>3.5</v>
      </c>
      <c r="AN62">
        <v>3.96</v>
      </c>
      <c r="AO62">
        <v>1</v>
      </c>
      <c r="AP62">
        <v>0.486651217421669</v>
      </c>
      <c r="AQ62">
        <v>0.27465794736674998</v>
      </c>
      <c r="AR62">
        <v>0.23869083521157999</v>
      </c>
      <c r="AS62">
        <v>1</v>
      </c>
      <c r="AT62">
        <v>2.5015078886385599E-3</v>
      </c>
      <c r="AU62">
        <v>0.41003733161709399</v>
      </c>
      <c r="AV62">
        <f t="shared" si="5"/>
        <v>79.812903235656876</v>
      </c>
      <c r="AW62">
        <f t="shared" si="6"/>
        <v>38.841046525590293</v>
      </c>
      <c r="AX62">
        <f t="shared" si="7"/>
        <v>21.921248176086578</v>
      </c>
      <c r="AY62">
        <f t="shared" si="8"/>
        <v>19.05060853398</v>
      </c>
      <c r="AZ62" cm="1">
        <f t="array" ref="AZ62">_xlfn.IFS(E62="H",AW62*AI62-AV62,E62="D",AX62*AJ62-AV62,E62="A",AY62*AK62-AV62)</f>
        <v>0.19965260705912158</v>
      </c>
      <c r="BA62">
        <f t="shared" si="9"/>
        <v>5.3047136045472234</v>
      </c>
    </row>
    <row r="63" spans="1:53" x14ac:dyDescent="0.2">
      <c r="A63">
        <v>26</v>
      </c>
      <c r="B63" t="s">
        <v>198</v>
      </c>
      <c r="C63" s="1">
        <v>43878</v>
      </c>
      <c r="D63" t="s">
        <v>151</v>
      </c>
      <c r="E63" t="s">
        <v>74</v>
      </c>
      <c r="F63" t="s">
        <v>91</v>
      </c>
      <c r="G63" t="s">
        <v>127</v>
      </c>
      <c r="H63">
        <v>40504</v>
      </c>
      <c r="I63" t="s">
        <v>93</v>
      </c>
      <c r="J63" t="s">
        <v>129</v>
      </c>
      <c r="K63" t="s">
        <v>54</v>
      </c>
      <c r="L63">
        <v>2020</v>
      </c>
      <c r="M63">
        <v>2</v>
      </c>
      <c r="N63">
        <v>2.5</v>
      </c>
      <c r="O63">
        <v>0</v>
      </c>
      <c r="P63">
        <v>0</v>
      </c>
      <c r="Q63">
        <v>1.85</v>
      </c>
      <c r="R63">
        <v>3.5</v>
      </c>
      <c r="S63">
        <v>4.5</v>
      </c>
      <c r="T63">
        <v>1.87</v>
      </c>
      <c r="U63">
        <v>3.5</v>
      </c>
      <c r="V63">
        <v>4.33</v>
      </c>
      <c r="W63">
        <v>1.85</v>
      </c>
      <c r="X63">
        <v>3.6</v>
      </c>
      <c r="Y63">
        <v>4.3</v>
      </c>
      <c r="Z63">
        <v>1.86</v>
      </c>
      <c r="AA63">
        <v>3.7</v>
      </c>
      <c r="AB63">
        <v>4.53</v>
      </c>
      <c r="AC63">
        <v>1.85</v>
      </c>
      <c r="AD63">
        <v>3.6</v>
      </c>
      <c r="AE63">
        <v>4.33</v>
      </c>
      <c r="AF63">
        <v>1.85</v>
      </c>
      <c r="AG63">
        <v>3.6</v>
      </c>
      <c r="AH63">
        <v>4.33</v>
      </c>
      <c r="AI63">
        <v>1.93</v>
      </c>
      <c r="AJ63">
        <v>3.8</v>
      </c>
      <c r="AK63">
        <v>4.5999999999999996</v>
      </c>
      <c r="AL63">
        <v>1.86</v>
      </c>
      <c r="AM63">
        <v>3.6</v>
      </c>
      <c r="AN63">
        <v>4.3499999999999996</v>
      </c>
      <c r="AO63">
        <v>1</v>
      </c>
      <c r="AP63">
        <v>0.51881752344770204</v>
      </c>
      <c r="AQ63">
        <v>0.26350468954054301</v>
      </c>
      <c r="AR63">
        <v>0.217677787011753</v>
      </c>
      <c r="AS63">
        <v>0.999999999999999</v>
      </c>
      <c r="AT63">
        <v>1.31782025406623E-3</v>
      </c>
      <c r="AU63">
        <v>0.41135515187116101</v>
      </c>
      <c r="AV63">
        <f t="shared" si="5"/>
        <v>85.117616840204093</v>
      </c>
      <c r="AW63">
        <f t="shared" si="6"/>
        <v>44.160511170805158</v>
      </c>
      <c r="AX63">
        <f t="shared" si="7"/>
        <v>22.428891199908939</v>
      </c>
      <c r="AY63">
        <f t="shared" si="8"/>
        <v>18.528214469489992</v>
      </c>
      <c r="AZ63" cm="1">
        <f t="array" ref="AZ63">_xlfn.IFS(E63="H",AW63*AI63-AV63,E63="D",AX63*AJ63-AV63,E63="A",AY63*AK63-AV63)</f>
        <v>0.11216971944986653</v>
      </c>
      <c r="BA63">
        <f t="shared" si="9"/>
        <v>5.4168833239970899</v>
      </c>
    </row>
    <row r="64" spans="1:53" x14ac:dyDescent="0.2">
      <c r="A64">
        <v>23</v>
      </c>
      <c r="B64" t="s">
        <v>55</v>
      </c>
      <c r="C64" s="1">
        <v>43883</v>
      </c>
      <c r="D64" t="s">
        <v>73</v>
      </c>
      <c r="E64" t="s">
        <v>74</v>
      </c>
      <c r="F64" t="s">
        <v>172</v>
      </c>
      <c r="G64" t="s">
        <v>239</v>
      </c>
      <c r="H64">
        <v>24000</v>
      </c>
      <c r="I64" t="s">
        <v>246</v>
      </c>
      <c r="J64" t="s">
        <v>120</v>
      </c>
      <c r="K64" t="s">
        <v>54</v>
      </c>
      <c r="L64">
        <v>2020</v>
      </c>
      <c r="M64">
        <v>1.5</v>
      </c>
      <c r="N64">
        <v>0.5</v>
      </c>
      <c r="O64">
        <v>0.5</v>
      </c>
      <c r="P64">
        <v>0.5</v>
      </c>
      <c r="Q64">
        <v>1.9</v>
      </c>
      <c r="R64">
        <v>3.8</v>
      </c>
      <c r="S64">
        <v>4</v>
      </c>
      <c r="T64">
        <v>1.91</v>
      </c>
      <c r="U64">
        <v>3.7</v>
      </c>
      <c r="V64">
        <v>3.9</v>
      </c>
      <c r="W64">
        <v>2</v>
      </c>
      <c r="X64">
        <v>3.5</v>
      </c>
      <c r="Y64">
        <v>3.7</v>
      </c>
      <c r="Z64">
        <v>1.93</v>
      </c>
      <c r="AA64">
        <v>3.88</v>
      </c>
      <c r="AB64">
        <v>3.93</v>
      </c>
      <c r="AC64">
        <v>1.91</v>
      </c>
      <c r="AD64">
        <v>3.7</v>
      </c>
      <c r="AE64">
        <v>3.9</v>
      </c>
      <c r="AF64">
        <v>1.93</v>
      </c>
      <c r="AG64">
        <v>3.75</v>
      </c>
      <c r="AH64">
        <v>3.9</v>
      </c>
      <c r="AI64">
        <v>2.0499999999999998</v>
      </c>
      <c r="AJ64">
        <v>3.9</v>
      </c>
      <c r="AK64">
        <v>4.05</v>
      </c>
      <c r="AL64">
        <v>1.93</v>
      </c>
      <c r="AM64">
        <v>3.7</v>
      </c>
      <c r="AN64">
        <v>3.87</v>
      </c>
      <c r="AO64">
        <v>1</v>
      </c>
      <c r="AP64">
        <v>0.49217106800654298</v>
      </c>
      <c r="AQ64">
        <v>0.25870530497779798</v>
      </c>
      <c r="AR64">
        <v>0.24912362701565699</v>
      </c>
      <c r="AS64">
        <v>1</v>
      </c>
      <c r="AT64">
        <v>8.95068941341437E-3</v>
      </c>
      <c r="AU64">
        <v>0.42030584128457499</v>
      </c>
      <c r="AV64">
        <f t="shared" si="5"/>
        <v>90.534500164201177</v>
      </c>
      <c r="AW64">
        <f t="shared" si="6"/>
        <v>44.558461637253487</v>
      </c>
      <c r="AX64">
        <f t="shared" si="7"/>
        <v>23.421755475992221</v>
      </c>
      <c r="AY64">
        <f t="shared" si="8"/>
        <v>22.554283050955469</v>
      </c>
      <c r="AZ64" cm="1">
        <f t="array" ref="AZ64">_xlfn.IFS(E64="H",AW64*AI64-AV64,E64="D",AX64*AJ64-AV64,E64="A",AY64*AK64-AV64)</f>
        <v>0.81034619216846693</v>
      </c>
      <c r="BA64">
        <f t="shared" si="9"/>
        <v>6.2272295161655569</v>
      </c>
    </row>
    <row r="65" spans="1:53" x14ac:dyDescent="0.2">
      <c r="A65">
        <v>23</v>
      </c>
      <c r="B65" t="s">
        <v>55</v>
      </c>
      <c r="C65" s="1">
        <v>43883</v>
      </c>
      <c r="D65" t="s">
        <v>73</v>
      </c>
      <c r="E65" t="s">
        <v>57</v>
      </c>
      <c r="F65" t="s">
        <v>76</v>
      </c>
      <c r="G65" t="s">
        <v>138</v>
      </c>
      <c r="H65">
        <v>50250</v>
      </c>
      <c r="I65" t="s">
        <v>149</v>
      </c>
      <c r="J65" t="s">
        <v>247</v>
      </c>
      <c r="K65" t="s">
        <v>54</v>
      </c>
      <c r="L65">
        <v>2020</v>
      </c>
      <c r="M65">
        <v>3</v>
      </c>
      <c r="N65">
        <v>3</v>
      </c>
      <c r="O65">
        <v>1.5</v>
      </c>
      <c r="P65">
        <v>1.5</v>
      </c>
      <c r="Q65">
        <v>1.61</v>
      </c>
      <c r="R65">
        <v>4</v>
      </c>
      <c r="S65">
        <v>5.25</v>
      </c>
      <c r="T65">
        <v>1.62</v>
      </c>
      <c r="U65">
        <v>4.0999999999999996</v>
      </c>
      <c r="V65">
        <v>5.25</v>
      </c>
      <c r="W65">
        <v>1.65</v>
      </c>
      <c r="X65">
        <v>4.3</v>
      </c>
      <c r="Y65">
        <v>4.75</v>
      </c>
      <c r="Z65">
        <v>1.64</v>
      </c>
      <c r="AA65">
        <v>4.3</v>
      </c>
      <c r="AB65">
        <v>5.17</v>
      </c>
      <c r="AC65">
        <v>1.65</v>
      </c>
      <c r="AD65">
        <v>4</v>
      </c>
      <c r="AE65">
        <v>5.25</v>
      </c>
      <c r="AF65">
        <v>1.67</v>
      </c>
      <c r="AG65">
        <v>4.2</v>
      </c>
      <c r="AH65">
        <v>4.8</v>
      </c>
      <c r="AI65">
        <v>1.7</v>
      </c>
      <c r="AJ65">
        <v>4.5</v>
      </c>
      <c r="AK65">
        <v>5.35</v>
      </c>
      <c r="AL65">
        <v>1.64</v>
      </c>
      <c r="AM65">
        <v>4.21</v>
      </c>
      <c r="AN65">
        <v>4.9400000000000004</v>
      </c>
      <c r="AO65">
        <v>1</v>
      </c>
      <c r="AP65">
        <v>0.58978441940225301</v>
      </c>
      <c r="AQ65">
        <v>0.22280744732974</v>
      </c>
      <c r="AR65">
        <v>0.18740813326800501</v>
      </c>
      <c r="AS65">
        <v>1</v>
      </c>
      <c r="AT65">
        <v>2.6335129838315199E-3</v>
      </c>
      <c r="AU65">
        <v>0.42293935426840701</v>
      </c>
      <c r="AV65">
        <f t="shared" si="5"/>
        <v>96.761729680366727</v>
      </c>
      <c r="AW65">
        <f t="shared" si="6"/>
        <v>57.068560559892916</v>
      </c>
      <c r="AX65">
        <f t="shared" si="7"/>
        <v>21.559233989292881</v>
      </c>
      <c r="AY65">
        <f t="shared" si="8"/>
        <v>18.13393513118093</v>
      </c>
      <c r="AZ65" cm="1">
        <f t="array" ref="AZ65">_xlfn.IFS(E65="H",AW65*AI65-AV65,E65="D",AX65*AJ65-AV65,E65="A",AY65*AK65-AV65)</f>
        <v>0.25482327145124373</v>
      </c>
      <c r="BA65">
        <f t="shared" si="9"/>
        <v>6.4820527876168006</v>
      </c>
    </row>
    <row r="66" spans="1:53" x14ac:dyDescent="0.2">
      <c r="A66">
        <v>24</v>
      </c>
      <c r="B66" t="s">
        <v>55</v>
      </c>
      <c r="C66" s="1">
        <v>43890</v>
      </c>
      <c r="D66" t="s">
        <v>73</v>
      </c>
      <c r="E66" t="s">
        <v>49</v>
      </c>
      <c r="F66" t="s">
        <v>75</v>
      </c>
      <c r="G66" t="s">
        <v>118</v>
      </c>
      <c r="H66">
        <v>24231</v>
      </c>
      <c r="I66" t="s">
        <v>77</v>
      </c>
      <c r="J66" t="s">
        <v>140</v>
      </c>
      <c r="K66" t="s">
        <v>54</v>
      </c>
      <c r="L66">
        <v>2020</v>
      </c>
      <c r="M66">
        <v>0.33333333333333298</v>
      </c>
      <c r="N66">
        <v>0.66666666666666596</v>
      </c>
      <c r="O66">
        <v>1.3333333333333299</v>
      </c>
      <c r="P66">
        <v>1.6666666666666601</v>
      </c>
      <c r="Q66">
        <v>1.83</v>
      </c>
      <c r="R66">
        <v>4</v>
      </c>
      <c r="S66">
        <v>4</v>
      </c>
      <c r="T66">
        <v>1.8</v>
      </c>
      <c r="U66">
        <v>3.9</v>
      </c>
      <c r="V66">
        <v>4.2</v>
      </c>
      <c r="W66">
        <v>1.9</v>
      </c>
      <c r="X66">
        <v>3.8</v>
      </c>
      <c r="Y66">
        <v>3.75</v>
      </c>
      <c r="Z66">
        <v>1.88</v>
      </c>
      <c r="AA66">
        <v>3.97</v>
      </c>
      <c r="AB66">
        <v>4.0199999999999996</v>
      </c>
      <c r="AC66">
        <v>1.83</v>
      </c>
      <c r="AD66">
        <v>4</v>
      </c>
      <c r="AE66">
        <v>4</v>
      </c>
      <c r="AF66">
        <v>1.83</v>
      </c>
      <c r="AG66">
        <v>4</v>
      </c>
      <c r="AH66">
        <v>4</v>
      </c>
      <c r="AI66">
        <v>1.91</v>
      </c>
      <c r="AJ66">
        <v>4.0999999999999996</v>
      </c>
      <c r="AK66">
        <v>4.3099999999999996</v>
      </c>
      <c r="AL66">
        <v>1.84</v>
      </c>
      <c r="AM66">
        <v>3.95</v>
      </c>
      <c r="AN66">
        <v>3.96</v>
      </c>
      <c r="AO66">
        <v>1</v>
      </c>
      <c r="AP66">
        <v>0.52383196824578004</v>
      </c>
      <c r="AQ66">
        <v>0.244029038865717</v>
      </c>
      <c r="AR66">
        <v>0.23213899288850101</v>
      </c>
      <c r="AS66">
        <v>1</v>
      </c>
      <c r="AT66" s="2">
        <v>5.1905934944151901E-4</v>
      </c>
      <c r="AU66">
        <v>0.42345841361784797</v>
      </c>
      <c r="AV66">
        <f t="shared" si="5"/>
        <v>103.24378246798352</v>
      </c>
      <c r="AW66">
        <f t="shared" si="6"/>
        <v>54.082393779343064</v>
      </c>
      <c r="AX66">
        <f t="shared" si="7"/>
        <v>25.194481004523233</v>
      </c>
      <c r="AY66">
        <f t="shared" si="8"/>
        <v>23.966907684117228</v>
      </c>
      <c r="AZ66" cm="1">
        <f t="array" ref="AZ66">_xlfn.IFS(E66="H",AW66*AI66-AV66,E66="D",AX66*AJ66-AV66,E66="A",AY66*AK66-AV66)</f>
        <v>5.3589650561733038E-2</v>
      </c>
      <c r="BA66">
        <f t="shared" si="9"/>
        <v>6.5356424381785336</v>
      </c>
    </row>
    <row r="67" spans="1:53" x14ac:dyDescent="0.2">
      <c r="A67">
        <v>24</v>
      </c>
      <c r="B67" t="s">
        <v>55</v>
      </c>
      <c r="C67" s="1">
        <v>43890</v>
      </c>
      <c r="D67" t="s">
        <v>73</v>
      </c>
      <c r="E67" t="s">
        <v>74</v>
      </c>
      <c r="F67" t="s">
        <v>138</v>
      </c>
      <c r="G67" t="s">
        <v>191</v>
      </c>
      <c r="H67">
        <v>30150</v>
      </c>
      <c r="I67" t="s">
        <v>139</v>
      </c>
      <c r="J67" t="s">
        <v>174</v>
      </c>
      <c r="K67" t="s">
        <v>54</v>
      </c>
      <c r="L67">
        <v>2020</v>
      </c>
      <c r="M67">
        <v>1</v>
      </c>
      <c r="N67">
        <v>1.6666666666666601</v>
      </c>
      <c r="O67">
        <v>3</v>
      </c>
      <c r="P67">
        <v>3.6666666666666599</v>
      </c>
      <c r="Q67">
        <v>7</v>
      </c>
      <c r="R67">
        <v>5.75</v>
      </c>
      <c r="S67">
        <v>1.36</v>
      </c>
      <c r="T67">
        <v>6.5</v>
      </c>
      <c r="U67">
        <v>5.5</v>
      </c>
      <c r="V67">
        <v>1.4</v>
      </c>
      <c r="W67">
        <v>6.5</v>
      </c>
      <c r="X67">
        <v>5.5</v>
      </c>
      <c r="Y67">
        <v>1.4</v>
      </c>
      <c r="Z67">
        <v>6.68</v>
      </c>
      <c r="AA67">
        <v>5.25</v>
      </c>
      <c r="AB67">
        <v>1.41</v>
      </c>
      <c r="AC67">
        <v>7.5</v>
      </c>
      <c r="AD67">
        <v>5.25</v>
      </c>
      <c r="AE67">
        <v>1.38</v>
      </c>
      <c r="AF67">
        <v>6.5</v>
      </c>
      <c r="AG67">
        <v>5.5</v>
      </c>
      <c r="AH67">
        <v>1.4</v>
      </c>
      <c r="AI67">
        <v>7.6</v>
      </c>
      <c r="AJ67">
        <v>5.85</v>
      </c>
      <c r="AK67">
        <v>1.45</v>
      </c>
      <c r="AL67">
        <v>6.85</v>
      </c>
      <c r="AM67">
        <v>5.41</v>
      </c>
      <c r="AN67">
        <v>1.39</v>
      </c>
      <c r="AO67">
        <v>1</v>
      </c>
      <c r="AP67">
        <v>0.132616767637287</v>
      </c>
      <c r="AQ67">
        <v>0.172288450263826</v>
      </c>
      <c r="AR67">
        <v>0.69509478209888598</v>
      </c>
      <c r="AS67">
        <v>0.999999999999999</v>
      </c>
      <c r="AT67">
        <v>7.8874340433845395E-3</v>
      </c>
      <c r="AU67">
        <v>0.43134584766123302</v>
      </c>
      <c r="AV67">
        <f t="shared" si="5"/>
        <v>109.77942490616205</v>
      </c>
      <c r="AW67">
        <f t="shared" si="6"/>
        <v>14.558592484135543</v>
      </c>
      <c r="AX67">
        <f t="shared" si="7"/>
        <v>18.913726987936773</v>
      </c>
      <c r="AY67">
        <f t="shared" si="8"/>
        <v>76.307105434089735</v>
      </c>
      <c r="AZ67" cm="1">
        <f t="array" ref="AZ67">_xlfn.IFS(E67="H",AW67*AI67-AV67,E67="D",AX67*AJ67-AV67,E67="A",AY67*AK67-AV67)</f>
        <v>0.86587797326806992</v>
      </c>
      <c r="BA67">
        <f t="shared" si="9"/>
        <v>7.4015204114466036</v>
      </c>
    </row>
    <row r="68" spans="1:53" x14ac:dyDescent="0.2">
      <c r="A68">
        <v>28</v>
      </c>
      <c r="B68" t="s">
        <v>55</v>
      </c>
      <c r="C68" s="1">
        <v>43890</v>
      </c>
      <c r="D68" t="s">
        <v>90</v>
      </c>
      <c r="E68" t="s">
        <v>57</v>
      </c>
      <c r="F68" t="s">
        <v>248</v>
      </c>
      <c r="G68" t="s">
        <v>249</v>
      </c>
      <c r="H68">
        <v>52219</v>
      </c>
      <c r="I68" t="s">
        <v>250</v>
      </c>
      <c r="J68" t="s">
        <v>251</v>
      </c>
      <c r="K68" t="s">
        <v>54</v>
      </c>
      <c r="L68">
        <v>2020</v>
      </c>
      <c r="M68">
        <v>1.3333333333333299</v>
      </c>
      <c r="N68">
        <v>0.33333333333333298</v>
      </c>
      <c r="O68">
        <v>2</v>
      </c>
      <c r="P68">
        <v>1.3333333333333299</v>
      </c>
      <c r="Q68">
        <v>2.62</v>
      </c>
      <c r="R68">
        <v>3.1</v>
      </c>
      <c r="S68">
        <v>2.9</v>
      </c>
      <c r="T68">
        <v>2.5499999999999998</v>
      </c>
      <c r="U68">
        <v>3.1</v>
      </c>
      <c r="V68">
        <v>3</v>
      </c>
      <c r="W68">
        <v>2.6</v>
      </c>
      <c r="X68">
        <v>3.1</v>
      </c>
      <c r="Y68">
        <v>2.9</v>
      </c>
      <c r="Z68">
        <v>2.7</v>
      </c>
      <c r="AA68">
        <v>3.14</v>
      </c>
      <c r="AB68">
        <v>2.92</v>
      </c>
      <c r="AC68">
        <v>2.62</v>
      </c>
      <c r="AD68">
        <v>3.1</v>
      </c>
      <c r="AE68">
        <v>2.88</v>
      </c>
      <c r="AF68">
        <v>2.7</v>
      </c>
      <c r="AG68">
        <v>3.1</v>
      </c>
      <c r="AH68">
        <v>2.9</v>
      </c>
      <c r="AI68">
        <v>2.8</v>
      </c>
      <c r="AJ68">
        <v>3.24</v>
      </c>
      <c r="AK68">
        <v>3</v>
      </c>
      <c r="AL68">
        <v>2.64</v>
      </c>
      <c r="AM68">
        <v>3.11</v>
      </c>
      <c r="AN68">
        <v>2.9</v>
      </c>
      <c r="AO68">
        <v>1</v>
      </c>
      <c r="AP68">
        <v>0.35745807590467699</v>
      </c>
      <c r="AQ68">
        <v>0.30891438658428899</v>
      </c>
      <c r="AR68">
        <v>0.33362753751103202</v>
      </c>
      <c r="AS68">
        <v>1</v>
      </c>
      <c r="AT68" s="2">
        <v>8.8261253309784805E-4</v>
      </c>
      <c r="AU68">
        <v>0.43222846019432998</v>
      </c>
      <c r="AV68">
        <f t="shared" si="5"/>
        <v>117.18094531760865</v>
      </c>
      <c r="AW68">
        <f t="shared" si="6"/>
        <v>41.887275245923661</v>
      </c>
      <c r="AX68">
        <f t="shared" si="7"/>
        <v>36.198879842156238</v>
      </c>
      <c r="AY68">
        <f t="shared" si="8"/>
        <v>39.094790229528755</v>
      </c>
      <c r="AZ68" cm="1">
        <f t="array" ref="AZ68">_xlfn.IFS(E68="H",AW68*AI68-AV68,E68="D",AX68*AJ68-AV68,E68="A",AY68*AK68-AV68)</f>
        <v>0.10342537097757543</v>
      </c>
      <c r="BA68">
        <f t="shared" si="9"/>
        <v>7.504945782424179</v>
      </c>
    </row>
    <row r="69" spans="1:53" x14ac:dyDescent="0.2">
      <c r="A69">
        <v>28</v>
      </c>
      <c r="B69" t="s">
        <v>67</v>
      </c>
      <c r="C69" s="1">
        <v>43891</v>
      </c>
      <c r="D69" t="s">
        <v>125</v>
      </c>
      <c r="E69" t="s">
        <v>57</v>
      </c>
      <c r="F69" t="s">
        <v>252</v>
      </c>
      <c r="G69" t="s">
        <v>127</v>
      </c>
      <c r="H69">
        <v>39374</v>
      </c>
      <c r="I69" t="s">
        <v>253</v>
      </c>
      <c r="J69" t="s">
        <v>180</v>
      </c>
      <c r="K69" t="s">
        <v>54</v>
      </c>
      <c r="L69">
        <v>2020</v>
      </c>
      <c r="M69">
        <v>2.3333333333333299</v>
      </c>
      <c r="N69">
        <v>2</v>
      </c>
      <c r="O69">
        <v>1</v>
      </c>
      <c r="P69">
        <v>0.66666666666666596</v>
      </c>
      <c r="Q69">
        <v>2.5</v>
      </c>
      <c r="R69">
        <v>3.25</v>
      </c>
      <c r="S69">
        <v>2.9</v>
      </c>
      <c r="T69">
        <v>2.5</v>
      </c>
      <c r="U69">
        <v>3.4</v>
      </c>
      <c r="V69">
        <v>2.8</v>
      </c>
      <c r="W69">
        <v>2.5499999999999998</v>
      </c>
      <c r="X69">
        <v>3.3</v>
      </c>
      <c r="Y69">
        <v>2.85</v>
      </c>
      <c r="Z69">
        <v>2.56</v>
      </c>
      <c r="AA69">
        <v>3.42</v>
      </c>
      <c r="AB69">
        <v>2.88</v>
      </c>
      <c r="AC69">
        <v>2.5499999999999998</v>
      </c>
      <c r="AD69">
        <v>3.3</v>
      </c>
      <c r="AE69">
        <v>2.8</v>
      </c>
      <c r="AF69">
        <v>2.5</v>
      </c>
      <c r="AG69">
        <v>3.3</v>
      </c>
      <c r="AH69">
        <v>2.88</v>
      </c>
      <c r="AI69">
        <v>2.72</v>
      </c>
      <c r="AJ69">
        <v>3.45</v>
      </c>
      <c r="AK69">
        <v>2.95</v>
      </c>
      <c r="AL69">
        <v>2.54</v>
      </c>
      <c r="AM69">
        <v>3.33</v>
      </c>
      <c r="AN69">
        <v>2.85</v>
      </c>
      <c r="AO69">
        <v>1</v>
      </c>
      <c r="AP69">
        <v>0.36894382918562202</v>
      </c>
      <c r="AQ69">
        <v>0.29087745373475099</v>
      </c>
      <c r="AR69">
        <v>0.34017871707962499</v>
      </c>
      <c r="AS69">
        <v>1</v>
      </c>
      <c r="AT69">
        <v>3.5272153848942001E-3</v>
      </c>
      <c r="AU69">
        <v>0.43575567557922501</v>
      </c>
      <c r="AV69">
        <f t="shared" si="5"/>
        <v>124.68589110003282</v>
      </c>
      <c r="AW69">
        <f t="shared" si="6"/>
        <v>46.00209010786768</v>
      </c>
      <c r="AX69">
        <f t="shared" si="7"/>
        <v>36.268314519826113</v>
      </c>
      <c r="AY69">
        <f t="shared" si="8"/>
        <v>42.415486472339019</v>
      </c>
      <c r="AZ69" cm="1">
        <f t="array" ref="AZ69">_xlfn.IFS(E69="H",AW69*AI69-AV69,E69="D",AX69*AJ69-AV69,E69="A",AY69*AK69-AV69)</f>
        <v>0.43979399336727454</v>
      </c>
      <c r="BA69">
        <f t="shared" si="9"/>
        <v>7.9447397757914535</v>
      </c>
    </row>
    <row r="70" spans="1:53" x14ac:dyDescent="0.2">
      <c r="A70">
        <v>25</v>
      </c>
      <c r="B70" t="s">
        <v>67</v>
      </c>
      <c r="C70" s="1">
        <v>43898</v>
      </c>
      <c r="D70" t="s">
        <v>254</v>
      </c>
      <c r="E70" t="s">
        <v>57</v>
      </c>
      <c r="F70" t="s">
        <v>75</v>
      </c>
      <c r="G70" t="s">
        <v>239</v>
      </c>
      <c r="H70">
        <v>21409</v>
      </c>
      <c r="I70" t="s">
        <v>77</v>
      </c>
      <c r="J70" t="s">
        <v>140</v>
      </c>
      <c r="K70" t="s">
        <v>54</v>
      </c>
      <c r="L70">
        <v>2020</v>
      </c>
      <c r="M70">
        <v>1</v>
      </c>
      <c r="N70">
        <v>1</v>
      </c>
      <c r="O70">
        <v>1.3333333333333299</v>
      </c>
      <c r="P70">
        <v>1</v>
      </c>
      <c r="Q70">
        <v>1.9</v>
      </c>
      <c r="R70">
        <v>3.75</v>
      </c>
      <c r="S70">
        <v>3.8</v>
      </c>
      <c r="T70">
        <v>1.91</v>
      </c>
      <c r="U70">
        <v>3.8</v>
      </c>
      <c r="V70">
        <v>3.75</v>
      </c>
      <c r="W70">
        <v>1.87</v>
      </c>
      <c r="X70">
        <v>3.9</v>
      </c>
      <c r="Y70">
        <v>3.85</v>
      </c>
      <c r="Z70">
        <v>1.9</v>
      </c>
      <c r="AA70">
        <v>3.94</v>
      </c>
      <c r="AB70">
        <v>3.96</v>
      </c>
      <c r="AC70">
        <v>1.88</v>
      </c>
      <c r="AD70">
        <v>3.8</v>
      </c>
      <c r="AE70">
        <v>3.9</v>
      </c>
      <c r="AF70">
        <v>1.83</v>
      </c>
      <c r="AG70">
        <v>3.9</v>
      </c>
      <c r="AH70">
        <v>3.7</v>
      </c>
      <c r="AI70">
        <v>2</v>
      </c>
      <c r="AJ70">
        <v>4</v>
      </c>
      <c r="AK70">
        <v>4.08</v>
      </c>
      <c r="AL70">
        <v>1.89</v>
      </c>
      <c r="AM70">
        <v>3.86</v>
      </c>
      <c r="AN70">
        <v>3.82</v>
      </c>
      <c r="AO70">
        <v>1</v>
      </c>
      <c r="AP70">
        <v>0.50246305418719195</v>
      </c>
      <c r="AQ70">
        <v>0.25123152709359597</v>
      </c>
      <c r="AR70">
        <v>0.24630541871921099</v>
      </c>
      <c r="AS70">
        <v>0.999999999999999</v>
      </c>
      <c r="AT70">
        <v>4.9261083743841099E-3</v>
      </c>
      <c r="AU70">
        <v>0.44068178395360902</v>
      </c>
      <c r="AV70">
        <f t="shared" si="5"/>
        <v>132.63063087582427</v>
      </c>
      <c r="AW70">
        <f t="shared" si="6"/>
        <v>66.641991868640758</v>
      </c>
      <c r="AX70">
        <f t="shared" si="7"/>
        <v>33.320995934320379</v>
      </c>
      <c r="AY70">
        <f t="shared" si="8"/>
        <v>32.667643072863115</v>
      </c>
      <c r="AZ70" cm="1">
        <f t="array" ref="AZ70">_xlfn.IFS(E70="H",AW70*AI70-AV70,E70="D",AX70*AJ70-AV70,E70="A",AY70*AK70-AV70)</f>
        <v>0.65335286145725036</v>
      </c>
      <c r="BA70">
        <f t="shared" si="9"/>
        <v>8.5980926372487048</v>
      </c>
    </row>
    <row r="71" spans="1:53" x14ac:dyDescent="0.2">
      <c r="A71">
        <v>27</v>
      </c>
      <c r="B71" t="s">
        <v>47</v>
      </c>
      <c r="C71" s="1">
        <v>43973</v>
      </c>
      <c r="D71" t="s">
        <v>199</v>
      </c>
      <c r="E71" t="s">
        <v>49</v>
      </c>
      <c r="F71" t="s">
        <v>117</v>
      </c>
      <c r="G71" t="s">
        <v>255</v>
      </c>
      <c r="H71" t="s">
        <v>256</v>
      </c>
      <c r="I71" t="s">
        <v>119</v>
      </c>
      <c r="J71" t="s">
        <v>140</v>
      </c>
      <c r="K71" t="s">
        <v>54</v>
      </c>
      <c r="L71">
        <v>2020</v>
      </c>
      <c r="M71">
        <v>0.5</v>
      </c>
      <c r="N71">
        <v>0.75</v>
      </c>
      <c r="O71">
        <v>1.5</v>
      </c>
      <c r="P71">
        <v>1.25</v>
      </c>
      <c r="Q71">
        <v>2.2999999999999998</v>
      </c>
      <c r="R71">
        <v>3.4</v>
      </c>
      <c r="S71">
        <v>3</v>
      </c>
      <c r="T71">
        <v>2.35</v>
      </c>
      <c r="U71">
        <v>3.3</v>
      </c>
      <c r="V71">
        <v>3.1</v>
      </c>
      <c r="W71">
        <v>2.2999999999999998</v>
      </c>
      <c r="X71">
        <v>3.3</v>
      </c>
      <c r="Y71">
        <v>3.15</v>
      </c>
      <c r="Z71">
        <v>2.4300000000000002</v>
      </c>
      <c r="AA71">
        <v>3.4</v>
      </c>
      <c r="AB71">
        <v>3.16</v>
      </c>
      <c r="AC71">
        <v>2.35</v>
      </c>
      <c r="AD71">
        <v>3.4</v>
      </c>
      <c r="AE71">
        <v>3</v>
      </c>
      <c r="AF71">
        <v>2.4</v>
      </c>
      <c r="AG71">
        <v>3.4</v>
      </c>
      <c r="AH71">
        <v>3</v>
      </c>
      <c r="AI71">
        <v>2.4500000000000002</v>
      </c>
      <c r="AJ71">
        <v>3.54</v>
      </c>
      <c r="AK71">
        <v>3.28</v>
      </c>
      <c r="AL71">
        <v>2.36</v>
      </c>
      <c r="AM71">
        <v>3.37</v>
      </c>
      <c r="AN71">
        <v>3.09</v>
      </c>
      <c r="AO71">
        <v>1</v>
      </c>
      <c r="AP71">
        <v>0.40999710454022198</v>
      </c>
      <c r="AQ71">
        <v>0.28375505822698899</v>
      </c>
      <c r="AR71">
        <v>0.30624783723278698</v>
      </c>
      <c r="AS71">
        <v>1</v>
      </c>
      <c r="AT71">
        <v>4.4929061235443601E-3</v>
      </c>
      <c r="AU71">
        <v>0.44517469007715299</v>
      </c>
      <c r="AV71">
        <f t="shared" si="5"/>
        <v>141.22872351307296</v>
      </c>
      <c r="AW71">
        <f t="shared" si="6"/>
        <v>57.903367718271511</v>
      </c>
      <c r="AX71">
        <f t="shared" si="7"/>
        <v>40.074364663775476</v>
      </c>
      <c r="AY71">
        <f t="shared" si="8"/>
        <v>43.250991131025977</v>
      </c>
      <c r="AZ71" cm="1">
        <f t="array" ref="AZ71">_xlfn.IFS(E71="H",AW71*AI71-AV71,E71="D",AX71*AJ71-AV71,E71="A",AY71*AK71-AV71)</f>
        <v>0.63452739669224911</v>
      </c>
      <c r="BA71">
        <f t="shared" si="9"/>
        <v>9.2326200339409539</v>
      </c>
    </row>
    <row r="72" spans="1:53" x14ac:dyDescent="0.2">
      <c r="A72">
        <v>28</v>
      </c>
      <c r="B72" t="s">
        <v>202</v>
      </c>
      <c r="C72" s="1">
        <v>43978</v>
      </c>
      <c r="D72" t="s">
        <v>190</v>
      </c>
      <c r="E72" t="s">
        <v>57</v>
      </c>
      <c r="F72" t="s">
        <v>204</v>
      </c>
      <c r="G72" t="s">
        <v>117</v>
      </c>
      <c r="H72" t="s">
        <v>256</v>
      </c>
      <c r="I72" t="s">
        <v>205</v>
      </c>
      <c r="J72" t="s">
        <v>257</v>
      </c>
      <c r="K72" t="s">
        <v>54</v>
      </c>
      <c r="L72">
        <v>2020</v>
      </c>
      <c r="M72">
        <v>1.5</v>
      </c>
      <c r="N72">
        <v>1.75</v>
      </c>
      <c r="O72">
        <v>2.5</v>
      </c>
      <c r="P72">
        <v>2.5</v>
      </c>
      <c r="Q72">
        <v>1.3</v>
      </c>
      <c r="R72">
        <v>5.5</v>
      </c>
      <c r="S72">
        <v>6</v>
      </c>
      <c r="T72">
        <v>1.34</v>
      </c>
      <c r="U72">
        <v>5.5</v>
      </c>
      <c r="V72">
        <v>8.25</v>
      </c>
      <c r="W72">
        <v>1.37</v>
      </c>
      <c r="X72">
        <v>5.2</v>
      </c>
      <c r="Y72">
        <v>7.6</v>
      </c>
      <c r="Z72">
        <v>1.37</v>
      </c>
      <c r="AA72">
        <v>5.53</v>
      </c>
      <c r="AB72">
        <v>8.17</v>
      </c>
      <c r="AC72">
        <v>1.32</v>
      </c>
      <c r="AD72">
        <v>5.5</v>
      </c>
      <c r="AE72">
        <v>9</v>
      </c>
      <c r="AF72">
        <v>1.33</v>
      </c>
      <c r="AG72">
        <v>5.75</v>
      </c>
      <c r="AH72">
        <v>8</v>
      </c>
      <c r="AI72">
        <v>1.37</v>
      </c>
      <c r="AJ72">
        <v>6.05</v>
      </c>
      <c r="AK72">
        <v>9.9</v>
      </c>
      <c r="AL72">
        <v>1.35</v>
      </c>
      <c r="AM72">
        <v>5.49</v>
      </c>
      <c r="AN72">
        <v>8.07</v>
      </c>
      <c r="AO72">
        <v>1</v>
      </c>
      <c r="AP72">
        <v>0.73269191953172297</v>
      </c>
      <c r="AQ72">
        <v>0.16591536029065401</v>
      </c>
      <c r="AR72">
        <v>0.10139272017762201</v>
      </c>
      <c r="AS72">
        <v>1</v>
      </c>
      <c r="AT72">
        <v>3.78792975846065E-3</v>
      </c>
      <c r="AU72">
        <v>0.44896261983561397</v>
      </c>
      <c r="AV72">
        <f t="shared" si="5"/>
        <v>150.46134354701391</v>
      </c>
      <c r="AW72">
        <f t="shared" si="6"/>
        <v>110.24181061878366</v>
      </c>
      <c r="AX72">
        <f t="shared" si="7"/>
        <v>24.96384802441878</v>
      </c>
      <c r="AY72">
        <f t="shared" si="8"/>
        <v>15.255684903811476</v>
      </c>
      <c r="AZ72" cm="1">
        <f t="array" ref="AZ72">_xlfn.IFS(E72="H",AW72*AI72-AV72,E72="D",AX72*AJ72-AV72,E72="A",AY72*AK72-AV72)</f>
        <v>0.56993700071970466</v>
      </c>
      <c r="BA72">
        <f t="shared" si="9"/>
        <v>9.8025570346606585</v>
      </c>
    </row>
    <row r="73" spans="1:53" x14ac:dyDescent="0.2">
      <c r="A73">
        <v>28</v>
      </c>
      <c r="B73" t="s">
        <v>202</v>
      </c>
      <c r="C73" s="1">
        <v>43978</v>
      </c>
      <c r="D73" t="s">
        <v>199</v>
      </c>
      <c r="E73" t="s">
        <v>49</v>
      </c>
      <c r="F73" t="s">
        <v>138</v>
      </c>
      <c r="G73" t="s">
        <v>223</v>
      </c>
      <c r="H73" t="s">
        <v>256</v>
      </c>
      <c r="I73" t="s">
        <v>139</v>
      </c>
      <c r="J73" t="s">
        <v>247</v>
      </c>
      <c r="K73" t="s">
        <v>54</v>
      </c>
      <c r="L73">
        <v>2020</v>
      </c>
      <c r="M73">
        <v>0.75</v>
      </c>
      <c r="N73">
        <v>1</v>
      </c>
      <c r="O73">
        <v>1.5</v>
      </c>
      <c r="P73">
        <v>2.25</v>
      </c>
      <c r="Q73">
        <v>2.2999999999999998</v>
      </c>
      <c r="R73">
        <v>3.6</v>
      </c>
      <c r="S73">
        <v>2.8</v>
      </c>
      <c r="T73">
        <v>2.4</v>
      </c>
      <c r="U73">
        <v>3.6</v>
      </c>
      <c r="V73">
        <v>2.8</v>
      </c>
      <c r="W73">
        <v>2.4500000000000002</v>
      </c>
      <c r="X73">
        <v>3.7</v>
      </c>
      <c r="Y73">
        <v>2.7</v>
      </c>
      <c r="Z73">
        <v>2.5299999999999998</v>
      </c>
      <c r="AA73">
        <v>3.71</v>
      </c>
      <c r="AB73">
        <v>2.72</v>
      </c>
      <c r="AC73">
        <v>2.4500000000000002</v>
      </c>
      <c r="AD73">
        <v>3.7</v>
      </c>
      <c r="AE73">
        <v>2.7</v>
      </c>
      <c r="AF73">
        <v>2.4500000000000002</v>
      </c>
      <c r="AG73">
        <v>3.75</v>
      </c>
      <c r="AH73">
        <v>2.7</v>
      </c>
      <c r="AI73">
        <v>2.56</v>
      </c>
      <c r="AJ73">
        <v>3.96</v>
      </c>
      <c r="AK73">
        <v>2.88</v>
      </c>
      <c r="AL73">
        <v>2.46</v>
      </c>
      <c r="AM73">
        <v>3.65</v>
      </c>
      <c r="AN73">
        <v>2.72</v>
      </c>
      <c r="AO73">
        <v>1</v>
      </c>
      <c r="AP73">
        <v>0.39442231075697198</v>
      </c>
      <c r="AQ73">
        <v>0.25498007968127401</v>
      </c>
      <c r="AR73">
        <v>0.35059760956175201</v>
      </c>
      <c r="AS73">
        <v>1</v>
      </c>
      <c r="AT73">
        <v>9.7211155378484904E-3</v>
      </c>
      <c r="AU73">
        <v>0.45868373537346202</v>
      </c>
      <c r="AV73">
        <f t="shared" si="5"/>
        <v>160.26390058167456</v>
      </c>
      <c r="AW73">
        <f t="shared" si="6"/>
        <v>63.211657998349722</v>
      </c>
      <c r="AX73">
        <f t="shared" si="7"/>
        <v>40.864102140347299</v>
      </c>
      <c r="AY73">
        <f t="shared" si="8"/>
        <v>56.188140442977534</v>
      </c>
      <c r="AZ73" cm="1">
        <f t="array" ref="AZ73">_xlfn.IFS(E73="H",AW73*AI73-AV73,E73="D",AX73*AJ73-AV73,E73="A",AY73*AK73-AV73)</f>
        <v>1.5579438941007311</v>
      </c>
      <c r="BA73">
        <f t="shared" si="9"/>
        <v>11.36050092876139</v>
      </c>
    </row>
    <row r="74" spans="1:53" x14ac:dyDescent="0.2">
      <c r="A74">
        <v>29</v>
      </c>
      <c r="B74" t="s">
        <v>47</v>
      </c>
      <c r="C74" s="1">
        <v>43980</v>
      </c>
      <c r="D74" t="s">
        <v>199</v>
      </c>
      <c r="E74" t="s">
        <v>74</v>
      </c>
      <c r="F74" t="s">
        <v>172</v>
      </c>
      <c r="G74" t="s">
        <v>192</v>
      </c>
      <c r="H74" t="s">
        <v>256</v>
      </c>
      <c r="I74" t="s">
        <v>246</v>
      </c>
      <c r="J74" t="s">
        <v>258</v>
      </c>
      <c r="K74" t="s">
        <v>54</v>
      </c>
      <c r="L74">
        <v>2020</v>
      </c>
      <c r="M74">
        <v>1.5</v>
      </c>
      <c r="N74">
        <v>1</v>
      </c>
      <c r="O74">
        <v>2.5</v>
      </c>
      <c r="P74">
        <v>2.75</v>
      </c>
      <c r="Q74">
        <v>4.75</v>
      </c>
      <c r="R74">
        <v>4.2</v>
      </c>
      <c r="S74">
        <v>1.66</v>
      </c>
      <c r="T74">
        <v>4.75</v>
      </c>
      <c r="U74">
        <v>4</v>
      </c>
      <c r="V74">
        <v>1.7</v>
      </c>
      <c r="W74">
        <v>4.2</v>
      </c>
      <c r="X74">
        <v>4.0999999999999996</v>
      </c>
      <c r="Y74">
        <v>1.75</v>
      </c>
      <c r="Z74">
        <v>4.83</v>
      </c>
      <c r="AA74">
        <v>4.24</v>
      </c>
      <c r="AB74">
        <v>1.71</v>
      </c>
      <c r="AC74">
        <v>4.5999999999999996</v>
      </c>
      <c r="AD74">
        <v>4.2</v>
      </c>
      <c r="AE74">
        <v>1.7</v>
      </c>
      <c r="AF74">
        <v>4.5999999999999996</v>
      </c>
      <c r="AG74">
        <v>4.2</v>
      </c>
      <c r="AH74">
        <v>1.7</v>
      </c>
      <c r="AI74">
        <v>4.92</v>
      </c>
      <c r="AJ74">
        <v>4.4000000000000004</v>
      </c>
      <c r="AK74">
        <v>1.77</v>
      </c>
      <c r="AL74">
        <v>4.68</v>
      </c>
      <c r="AM74">
        <v>4.1399999999999997</v>
      </c>
      <c r="AN74">
        <v>1.7</v>
      </c>
      <c r="AO74">
        <v>1</v>
      </c>
      <c r="AP74">
        <v>0.20417151665775299</v>
      </c>
      <c r="AQ74">
        <v>0.22830087771730501</v>
      </c>
      <c r="AR74">
        <v>0.56752760562494098</v>
      </c>
      <c r="AS74">
        <v>0.999999999999999</v>
      </c>
      <c r="AT74">
        <v>4.5238619561456198E-3</v>
      </c>
      <c r="AU74">
        <v>0.46320759732960798</v>
      </c>
      <c r="AV74">
        <f t="shared" ref="AV74:AV137" si="10">AV73+BA73</f>
        <v>171.62440151043594</v>
      </c>
      <c r="AW74">
        <f t="shared" ref="AW74:AW137" si="11">AV74/(1+AI74/AJ74+AI74/AK74)</f>
        <v>35.040814351864888</v>
      </c>
      <c r="AX74">
        <f t="shared" ref="AX74:AX137" si="12">AV74/(1+AJ74/AI74+AJ74/AK74)</f>
        <v>39.182001502539826</v>
      </c>
      <c r="AY74">
        <f t="shared" ref="AY74:AY137" si="13">AV74/(1+AK74/AI74+AK74/AJ74)</f>
        <v>97.401585656031216</v>
      </c>
      <c r="AZ74" cm="1">
        <f t="array" ref="AZ74">_xlfn.IFS(E74="H",AW74*AI74-AV74,E74="D",AX74*AJ74-AV74,E74="A",AY74*AK74-AV74)</f>
        <v>0.77640510073931068</v>
      </c>
      <c r="BA74">
        <f t="shared" ref="BA74:BA137" si="14">AZ74+BA73</f>
        <v>12.1369060295007</v>
      </c>
    </row>
    <row r="75" spans="1:53" x14ac:dyDescent="0.2">
      <c r="A75">
        <v>29</v>
      </c>
      <c r="B75" t="s">
        <v>198</v>
      </c>
      <c r="C75" s="1">
        <v>43983</v>
      </c>
      <c r="D75" t="s">
        <v>199</v>
      </c>
      <c r="E75" t="s">
        <v>74</v>
      </c>
      <c r="F75" t="s">
        <v>223</v>
      </c>
      <c r="G75" t="s">
        <v>204</v>
      </c>
      <c r="H75" t="s">
        <v>256</v>
      </c>
      <c r="I75" t="s">
        <v>224</v>
      </c>
      <c r="J75" t="s">
        <v>174</v>
      </c>
      <c r="K75" t="s">
        <v>54</v>
      </c>
      <c r="L75">
        <v>2020</v>
      </c>
      <c r="M75">
        <v>1.25</v>
      </c>
      <c r="N75">
        <v>2</v>
      </c>
      <c r="O75">
        <v>2</v>
      </c>
      <c r="P75">
        <v>2.5</v>
      </c>
      <c r="Q75">
        <v>5.5</v>
      </c>
      <c r="R75">
        <v>4.5999999999999996</v>
      </c>
      <c r="S75">
        <v>1.53</v>
      </c>
      <c r="T75">
        <v>5.5</v>
      </c>
      <c r="U75">
        <v>4.5</v>
      </c>
      <c r="V75">
        <v>1.5</v>
      </c>
      <c r="W75">
        <v>5</v>
      </c>
      <c r="X75">
        <v>4.4000000000000004</v>
      </c>
      <c r="Y75">
        <v>1.6</v>
      </c>
      <c r="Z75">
        <v>5.81</v>
      </c>
      <c r="AA75">
        <v>4.63</v>
      </c>
      <c r="AB75">
        <v>1.55</v>
      </c>
      <c r="AC75">
        <v>5.8</v>
      </c>
      <c r="AD75">
        <v>4.5999999999999996</v>
      </c>
      <c r="AE75">
        <v>1.52</v>
      </c>
      <c r="AF75">
        <v>5</v>
      </c>
      <c r="AG75">
        <v>4.5999999999999996</v>
      </c>
      <c r="AH75">
        <v>1.53</v>
      </c>
      <c r="AI75">
        <v>6.2</v>
      </c>
      <c r="AJ75">
        <v>4.9000000000000004</v>
      </c>
      <c r="AK75">
        <v>1.6</v>
      </c>
      <c r="AL75">
        <v>5.54</v>
      </c>
      <c r="AM75">
        <v>4.6100000000000003</v>
      </c>
      <c r="AN75">
        <v>1.54</v>
      </c>
      <c r="AO75">
        <v>1</v>
      </c>
      <c r="AP75">
        <v>0.16285832987120799</v>
      </c>
      <c r="AQ75">
        <v>0.206065641877856</v>
      </c>
      <c r="AR75">
        <v>0.63107602825093401</v>
      </c>
      <c r="AS75">
        <v>1</v>
      </c>
      <c r="AT75">
        <v>9.7216452014956493E-3</v>
      </c>
      <c r="AU75">
        <v>0.47292924253110402</v>
      </c>
      <c r="AV75">
        <f t="shared" si="10"/>
        <v>183.76130753993664</v>
      </c>
      <c r="AW75">
        <f t="shared" si="11"/>
        <v>29.927059640903682</v>
      </c>
      <c r="AX75">
        <f t="shared" si="12"/>
        <v>37.866891790531184</v>
      </c>
      <c r="AY75">
        <f t="shared" si="13"/>
        <v>115.96735610850178</v>
      </c>
      <c r="AZ75" cm="1">
        <f t="array" ref="AZ75">_xlfn.IFS(E75="H",AW75*AI75-AV75,E75="D",AX75*AJ75-AV75,E75="A",AY75*AK75-AV75)</f>
        <v>1.7864622336662137</v>
      </c>
      <c r="BA75">
        <f t="shared" si="14"/>
        <v>13.923368263166914</v>
      </c>
    </row>
    <row r="76" spans="1:53" x14ac:dyDescent="0.2">
      <c r="A76">
        <v>28</v>
      </c>
      <c r="B76" t="s">
        <v>229</v>
      </c>
      <c r="C76" s="1">
        <v>43993</v>
      </c>
      <c r="D76" t="s">
        <v>259</v>
      </c>
      <c r="E76" t="s">
        <v>49</v>
      </c>
      <c r="F76" t="s">
        <v>161</v>
      </c>
      <c r="G76" t="s">
        <v>236</v>
      </c>
      <c r="H76" t="s">
        <v>256</v>
      </c>
      <c r="I76" t="s">
        <v>163</v>
      </c>
      <c r="J76" t="s">
        <v>260</v>
      </c>
      <c r="K76" t="s">
        <v>54</v>
      </c>
      <c r="L76">
        <v>2020</v>
      </c>
      <c r="M76">
        <v>2</v>
      </c>
      <c r="N76">
        <v>2</v>
      </c>
      <c r="O76">
        <v>0.5</v>
      </c>
      <c r="P76">
        <v>0.5</v>
      </c>
      <c r="Q76">
        <v>1.8</v>
      </c>
      <c r="R76">
        <v>3.75</v>
      </c>
      <c r="S76">
        <v>4.33</v>
      </c>
      <c r="T76">
        <v>1.83</v>
      </c>
      <c r="U76">
        <v>3.7</v>
      </c>
      <c r="V76">
        <v>4.25</v>
      </c>
      <c r="W76">
        <v>1.9</v>
      </c>
      <c r="X76">
        <v>3.5</v>
      </c>
      <c r="Y76">
        <v>4.0999999999999996</v>
      </c>
      <c r="Z76">
        <v>1.87</v>
      </c>
      <c r="AA76">
        <v>3.76</v>
      </c>
      <c r="AB76">
        <v>4.43</v>
      </c>
      <c r="AC76">
        <v>1.8</v>
      </c>
      <c r="AD76">
        <v>3.7</v>
      </c>
      <c r="AE76">
        <v>4.5</v>
      </c>
      <c r="AF76">
        <v>1.83</v>
      </c>
      <c r="AG76">
        <v>3.7</v>
      </c>
      <c r="AH76">
        <v>4.2</v>
      </c>
      <c r="AI76">
        <v>1.92</v>
      </c>
      <c r="AJ76">
        <v>3.88</v>
      </c>
      <c r="AK76">
        <v>4.8</v>
      </c>
      <c r="AL76">
        <v>1.85</v>
      </c>
      <c r="AM76">
        <v>3.68</v>
      </c>
      <c r="AN76">
        <v>4.3499999999999996</v>
      </c>
      <c r="AO76">
        <v>1</v>
      </c>
      <c r="AP76">
        <v>0.52774755168661502</v>
      </c>
      <c r="AQ76">
        <v>0.261153427638737</v>
      </c>
      <c r="AR76">
        <v>0.211099020674646</v>
      </c>
      <c r="AS76">
        <v>1</v>
      </c>
      <c r="AT76">
        <v>1.32752992383025E-2</v>
      </c>
      <c r="AU76">
        <v>0.48620454176940597</v>
      </c>
      <c r="AV76">
        <f t="shared" si="10"/>
        <v>197.68467580310354</v>
      </c>
      <c r="AW76">
        <f t="shared" si="11"/>
        <v>104.32760366105029</v>
      </c>
      <c r="AX76">
        <f t="shared" si="12"/>
        <v>51.626030677633139</v>
      </c>
      <c r="AY76">
        <f t="shared" si="13"/>
        <v>41.731041464420116</v>
      </c>
      <c r="AZ76" cm="1">
        <f t="array" ref="AZ76">_xlfn.IFS(E76="H",AW76*AI76-AV76,E76="D",AX76*AJ76-AV76,E76="A",AY76*AK76-AV76)</f>
        <v>2.6243232261130061</v>
      </c>
      <c r="BA76">
        <f t="shared" si="14"/>
        <v>16.54769148927992</v>
      </c>
    </row>
    <row r="77" spans="1:53" x14ac:dyDescent="0.2">
      <c r="A77">
        <v>31</v>
      </c>
      <c r="B77" t="s">
        <v>55</v>
      </c>
      <c r="C77" s="1">
        <v>43995</v>
      </c>
      <c r="D77" t="s">
        <v>73</v>
      </c>
      <c r="E77" t="s">
        <v>57</v>
      </c>
      <c r="F77" t="s">
        <v>261</v>
      </c>
      <c r="G77" t="s">
        <v>172</v>
      </c>
      <c r="H77" t="s">
        <v>256</v>
      </c>
      <c r="I77" t="s">
        <v>262</v>
      </c>
      <c r="J77" t="s">
        <v>257</v>
      </c>
      <c r="K77" t="s">
        <v>54</v>
      </c>
      <c r="L77">
        <v>2020</v>
      </c>
      <c r="M77">
        <v>1</v>
      </c>
      <c r="N77">
        <v>1.25</v>
      </c>
      <c r="O77">
        <v>0.75</v>
      </c>
      <c r="P77">
        <v>1.25</v>
      </c>
      <c r="Q77">
        <v>1.7</v>
      </c>
      <c r="R77">
        <v>3.8</v>
      </c>
      <c r="S77">
        <v>4.75</v>
      </c>
      <c r="T77">
        <v>1.72</v>
      </c>
      <c r="U77">
        <v>3.9</v>
      </c>
      <c r="V77">
        <v>4.75</v>
      </c>
      <c r="W77">
        <v>1.7</v>
      </c>
      <c r="X77">
        <v>3.9</v>
      </c>
      <c r="Y77">
        <v>4.75</v>
      </c>
      <c r="Z77">
        <v>1.71</v>
      </c>
      <c r="AA77">
        <v>4.1100000000000003</v>
      </c>
      <c r="AB77">
        <v>4.97</v>
      </c>
      <c r="AC77">
        <v>1.7</v>
      </c>
      <c r="AD77">
        <v>4</v>
      </c>
      <c r="AE77">
        <v>4.75</v>
      </c>
      <c r="AF77">
        <v>1.67</v>
      </c>
      <c r="AG77">
        <v>4</v>
      </c>
      <c r="AH77">
        <v>4.5</v>
      </c>
      <c r="AI77">
        <v>1.77</v>
      </c>
      <c r="AJ77">
        <v>4.25</v>
      </c>
      <c r="AK77">
        <v>5.0999999999999996</v>
      </c>
      <c r="AL77">
        <v>1.71</v>
      </c>
      <c r="AM77">
        <v>3.96</v>
      </c>
      <c r="AN77">
        <v>4.7699999999999996</v>
      </c>
      <c r="AO77">
        <v>1</v>
      </c>
      <c r="AP77">
        <v>0.56704469646430899</v>
      </c>
      <c r="AQ77">
        <v>0.23615743829219399</v>
      </c>
      <c r="AR77">
        <v>0.19679786524349499</v>
      </c>
      <c r="AS77">
        <v>1</v>
      </c>
      <c r="AT77">
        <v>3.6691127418277901E-3</v>
      </c>
      <c r="AU77">
        <v>0.48987365451123399</v>
      </c>
      <c r="AV77">
        <f t="shared" si="10"/>
        <v>214.23236729238346</v>
      </c>
      <c r="AW77">
        <f t="shared" si="11"/>
        <v>121.47932768414005</v>
      </c>
      <c r="AX77">
        <f t="shared" si="12"/>
        <v>50.592567059041855</v>
      </c>
      <c r="AY77">
        <f t="shared" si="13"/>
        <v>42.16047254920155</v>
      </c>
      <c r="AZ77" cm="1">
        <f t="array" ref="AZ77">_xlfn.IFS(E77="H",AW77*AI77-AV77,E77="D",AX77*AJ77-AV77,E77="A",AY77*AK77-AV77)</f>
        <v>0.78604270854441438</v>
      </c>
      <c r="BA77">
        <f t="shared" si="14"/>
        <v>17.333734197824334</v>
      </c>
    </row>
    <row r="78" spans="1:53" x14ac:dyDescent="0.2">
      <c r="A78">
        <v>28</v>
      </c>
      <c r="B78" t="s">
        <v>55</v>
      </c>
      <c r="C78" s="1">
        <v>43995</v>
      </c>
      <c r="D78" t="s">
        <v>259</v>
      </c>
      <c r="E78" t="s">
        <v>74</v>
      </c>
      <c r="F78" t="s">
        <v>263</v>
      </c>
      <c r="G78" t="s">
        <v>87</v>
      </c>
      <c r="H78" t="s">
        <v>256</v>
      </c>
      <c r="I78" t="s">
        <v>264</v>
      </c>
      <c r="J78" t="s">
        <v>265</v>
      </c>
      <c r="K78" t="s">
        <v>54</v>
      </c>
      <c r="L78">
        <v>2020</v>
      </c>
      <c r="M78">
        <v>1.5</v>
      </c>
      <c r="N78">
        <v>1.25</v>
      </c>
      <c r="O78">
        <v>1</v>
      </c>
      <c r="P78">
        <v>1.25</v>
      </c>
      <c r="Q78">
        <v>10</v>
      </c>
      <c r="R78">
        <v>5.75</v>
      </c>
      <c r="S78">
        <v>1.28</v>
      </c>
      <c r="T78">
        <v>9.5</v>
      </c>
      <c r="U78">
        <v>6</v>
      </c>
      <c r="V78">
        <v>1.28</v>
      </c>
      <c r="W78">
        <v>9.9</v>
      </c>
      <c r="X78">
        <v>6</v>
      </c>
      <c r="Y78">
        <v>1.28</v>
      </c>
      <c r="Z78">
        <v>9.9600000000000009</v>
      </c>
      <c r="AA78">
        <v>6.21</v>
      </c>
      <c r="AB78">
        <v>1.29</v>
      </c>
      <c r="AC78">
        <v>10</v>
      </c>
      <c r="AD78">
        <v>6</v>
      </c>
      <c r="AE78">
        <v>1.27</v>
      </c>
      <c r="AF78">
        <v>10.5</v>
      </c>
      <c r="AG78">
        <v>6</v>
      </c>
      <c r="AH78">
        <v>1.25</v>
      </c>
      <c r="AI78">
        <v>11</v>
      </c>
      <c r="AJ78">
        <v>6.7</v>
      </c>
      <c r="AK78">
        <v>1.32</v>
      </c>
      <c r="AL78">
        <v>9.91</v>
      </c>
      <c r="AM78">
        <v>6</v>
      </c>
      <c r="AN78">
        <v>1.28</v>
      </c>
      <c r="AO78">
        <v>1</v>
      </c>
      <c r="AP78">
        <v>9.1115140525838606E-2</v>
      </c>
      <c r="AQ78">
        <v>0.14959202175883901</v>
      </c>
      <c r="AR78">
        <v>0.75929283771532097</v>
      </c>
      <c r="AS78">
        <v>0.999999999999999</v>
      </c>
      <c r="AT78">
        <v>2.2665457842248001E-3</v>
      </c>
      <c r="AU78">
        <v>0.49214020029545902</v>
      </c>
      <c r="AV78">
        <f t="shared" si="10"/>
        <v>231.56610149020779</v>
      </c>
      <c r="AW78">
        <f t="shared" si="11"/>
        <v>21.099177878300893</v>
      </c>
      <c r="AX78">
        <f t="shared" si="12"/>
        <v>34.64044129273281</v>
      </c>
      <c r="AY78">
        <f t="shared" si="13"/>
        <v>175.82648231917406</v>
      </c>
      <c r="AZ78" cm="1">
        <f t="array" ref="AZ78">_xlfn.IFS(E78="H",AW78*AI78-AV78,E78="D",AX78*AJ78-AV78,E78="A",AY78*AK78-AV78)</f>
        <v>0.52485517110198998</v>
      </c>
      <c r="BA78">
        <f t="shared" si="14"/>
        <v>17.858589368926324</v>
      </c>
    </row>
    <row r="79" spans="1:53" x14ac:dyDescent="0.2">
      <c r="A79">
        <v>28</v>
      </c>
      <c r="B79" t="s">
        <v>67</v>
      </c>
      <c r="C79" s="1">
        <v>43996</v>
      </c>
      <c r="D79" t="s">
        <v>259</v>
      </c>
      <c r="E79" t="s">
        <v>57</v>
      </c>
      <c r="F79" t="s">
        <v>158</v>
      </c>
      <c r="G79" t="s">
        <v>86</v>
      </c>
      <c r="H79" t="s">
        <v>256</v>
      </c>
      <c r="I79" t="s">
        <v>266</v>
      </c>
      <c r="J79" t="s">
        <v>267</v>
      </c>
      <c r="K79" t="s">
        <v>54</v>
      </c>
      <c r="L79">
        <v>2020</v>
      </c>
      <c r="M79">
        <v>3</v>
      </c>
      <c r="N79">
        <v>2.25</v>
      </c>
      <c r="O79">
        <v>1</v>
      </c>
      <c r="P79">
        <v>1.25</v>
      </c>
      <c r="Q79">
        <v>1.66</v>
      </c>
      <c r="R79">
        <v>3.9</v>
      </c>
      <c r="S79">
        <v>5</v>
      </c>
      <c r="T79">
        <v>1.65</v>
      </c>
      <c r="U79">
        <v>4</v>
      </c>
      <c r="V79">
        <v>5.25</v>
      </c>
      <c r="W79">
        <v>1.7</v>
      </c>
      <c r="X79">
        <v>3.9</v>
      </c>
      <c r="Y79">
        <v>4.95</v>
      </c>
      <c r="Z79">
        <v>1.72</v>
      </c>
      <c r="AA79">
        <v>3.91</v>
      </c>
      <c r="AB79">
        <v>5.09</v>
      </c>
      <c r="AC79">
        <v>1.67</v>
      </c>
      <c r="AD79">
        <v>3.8</v>
      </c>
      <c r="AE79">
        <v>5.25</v>
      </c>
      <c r="AF79">
        <v>1.67</v>
      </c>
      <c r="AG79">
        <v>3.9</v>
      </c>
      <c r="AH79">
        <v>5</v>
      </c>
      <c r="AI79">
        <v>1.77</v>
      </c>
      <c r="AJ79">
        <v>4.05</v>
      </c>
      <c r="AK79">
        <v>5.45</v>
      </c>
      <c r="AL79">
        <v>1.69</v>
      </c>
      <c r="AM79">
        <v>3.89</v>
      </c>
      <c r="AN79">
        <v>5.01</v>
      </c>
      <c r="AO79">
        <v>1</v>
      </c>
      <c r="AP79">
        <v>0.56759884281581396</v>
      </c>
      <c r="AQ79">
        <v>0.24806171648987399</v>
      </c>
      <c r="AR79">
        <v>0.18433944069430999</v>
      </c>
      <c r="AS79">
        <v>1</v>
      </c>
      <c r="AT79">
        <v>4.6499517839924103E-3</v>
      </c>
      <c r="AU79">
        <v>0.49679015207945099</v>
      </c>
      <c r="AV79">
        <f t="shared" si="10"/>
        <v>249.4246908591341</v>
      </c>
      <c r="AW79">
        <f t="shared" si="11"/>
        <v>141.57316590133686</v>
      </c>
      <c r="AX79">
        <f t="shared" si="12"/>
        <v>61.872716949473151</v>
      </c>
      <c r="AY79">
        <f t="shared" si="13"/>
        <v>45.97880800832408</v>
      </c>
      <c r="AZ79" cm="1">
        <f t="array" ref="AZ79">_xlfn.IFS(E79="H",AW79*AI79-AV79,E79="D",AX79*AJ79-AV79,E79="A",AY79*AK79-AV79)</f>
        <v>1.1598127862321519</v>
      </c>
      <c r="BA79">
        <f t="shared" si="14"/>
        <v>19.018402155158476</v>
      </c>
    </row>
    <row r="80" spans="1:53" x14ac:dyDescent="0.2">
      <c r="A80">
        <v>29</v>
      </c>
      <c r="B80" t="s">
        <v>130</v>
      </c>
      <c r="C80" s="1">
        <v>43998</v>
      </c>
      <c r="D80" t="s">
        <v>259</v>
      </c>
      <c r="E80" t="s">
        <v>49</v>
      </c>
      <c r="F80" t="s">
        <v>87</v>
      </c>
      <c r="G80" t="s">
        <v>268</v>
      </c>
      <c r="H80" t="s">
        <v>256</v>
      </c>
      <c r="I80" t="s">
        <v>167</v>
      </c>
      <c r="J80" t="s">
        <v>89</v>
      </c>
      <c r="K80" t="s">
        <v>54</v>
      </c>
      <c r="L80">
        <v>2020</v>
      </c>
      <c r="M80">
        <v>3</v>
      </c>
      <c r="N80">
        <v>2.5</v>
      </c>
      <c r="O80">
        <v>1</v>
      </c>
      <c r="P80">
        <v>0.5</v>
      </c>
      <c r="Q80">
        <v>1.1599999999999999</v>
      </c>
      <c r="R80">
        <v>7.5</v>
      </c>
      <c r="S80">
        <v>13</v>
      </c>
      <c r="T80">
        <v>1.1499999999999999</v>
      </c>
      <c r="U80">
        <v>8.25</v>
      </c>
      <c r="V80">
        <v>16.5</v>
      </c>
      <c r="W80">
        <v>1.17</v>
      </c>
      <c r="X80">
        <v>7.6</v>
      </c>
      <c r="Y80">
        <v>16.5</v>
      </c>
      <c r="Z80">
        <v>1.1499999999999999</v>
      </c>
      <c r="AA80">
        <v>8.3699999999999992</v>
      </c>
      <c r="AB80">
        <v>18.71</v>
      </c>
      <c r="AC80">
        <v>1.1399999999999999</v>
      </c>
      <c r="AD80">
        <v>8</v>
      </c>
      <c r="AE80">
        <v>19</v>
      </c>
      <c r="AF80">
        <v>1.1399999999999999</v>
      </c>
      <c r="AG80">
        <v>8</v>
      </c>
      <c r="AH80">
        <v>18</v>
      </c>
      <c r="AI80">
        <v>1.2</v>
      </c>
      <c r="AJ80">
        <v>9.1</v>
      </c>
      <c r="AK80">
        <v>21</v>
      </c>
      <c r="AL80">
        <v>1.1599999999999999</v>
      </c>
      <c r="AM80">
        <v>8.06</v>
      </c>
      <c r="AN80">
        <v>17.420000000000002</v>
      </c>
      <c r="AO80">
        <v>1</v>
      </c>
      <c r="AP80">
        <v>0.84103512014787396</v>
      </c>
      <c r="AQ80">
        <v>0.11090573012939001</v>
      </c>
      <c r="AR80">
        <v>4.8059149722735603E-2</v>
      </c>
      <c r="AS80">
        <v>1</v>
      </c>
      <c r="AT80">
        <v>9.2421441774490597E-3</v>
      </c>
      <c r="AU80">
        <v>0.50603229625690005</v>
      </c>
      <c r="AV80">
        <f t="shared" si="10"/>
        <v>268.44309301429257</v>
      </c>
      <c r="AW80">
        <f t="shared" si="11"/>
        <v>225.77006898614255</v>
      </c>
      <c r="AX80">
        <f t="shared" si="12"/>
        <v>29.771877228941879</v>
      </c>
      <c r="AY80">
        <f t="shared" si="13"/>
        <v>12.901146799208146</v>
      </c>
      <c r="AZ80" cm="1">
        <f t="array" ref="AZ80">_xlfn.IFS(E80="H",AW80*AI80-AV80,E80="D",AX80*AJ80-AV80,E80="A",AY80*AK80-AV80)</f>
        <v>2.4809897690784624</v>
      </c>
      <c r="BA80">
        <f t="shared" si="14"/>
        <v>21.499391924236939</v>
      </c>
    </row>
    <row r="81" spans="1:53" x14ac:dyDescent="0.2">
      <c r="A81">
        <v>33</v>
      </c>
      <c r="B81" t="s">
        <v>55</v>
      </c>
      <c r="C81" s="1">
        <v>44002</v>
      </c>
      <c r="D81" t="s">
        <v>73</v>
      </c>
      <c r="E81" t="s">
        <v>74</v>
      </c>
      <c r="F81" t="s">
        <v>118</v>
      </c>
      <c r="G81" t="s">
        <v>76</v>
      </c>
      <c r="H81" t="s">
        <v>256</v>
      </c>
      <c r="I81" t="s">
        <v>145</v>
      </c>
      <c r="J81" t="s">
        <v>269</v>
      </c>
      <c r="K81" t="s">
        <v>54</v>
      </c>
      <c r="L81">
        <v>2020</v>
      </c>
      <c r="M81">
        <v>0.25</v>
      </c>
      <c r="N81">
        <v>1</v>
      </c>
      <c r="O81">
        <v>1</v>
      </c>
      <c r="P81">
        <v>1</v>
      </c>
      <c r="Q81">
        <v>9.5</v>
      </c>
      <c r="R81">
        <v>6.5</v>
      </c>
      <c r="S81">
        <v>1.25</v>
      </c>
      <c r="T81">
        <v>8</v>
      </c>
      <c r="U81">
        <v>5.75</v>
      </c>
      <c r="V81">
        <v>1.3</v>
      </c>
      <c r="W81">
        <v>11</v>
      </c>
      <c r="X81">
        <v>6.1</v>
      </c>
      <c r="Y81">
        <v>1.25</v>
      </c>
      <c r="Z81">
        <v>10.130000000000001</v>
      </c>
      <c r="AA81">
        <v>6.25</v>
      </c>
      <c r="AB81">
        <v>1.3</v>
      </c>
      <c r="AC81">
        <v>11</v>
      </c>
      <c r="AD81">
        <v>6</v>
      </c>
      <c r="AE81">
        <v>1.27</v>
      </c>
      <c r="AF81">
        <v>10</v>
      </c>
      <c r="AG81">
        <v>6</v>
      </c>
      <c r="AH81">
        <v>1.29</v>
      </c>
      <c r="AI81">
        <v>12.25</v>
      </c>
      <c r="AJ81">
        <v>6.6</v>
      </c>
      <c r="AK81">
        <v>1.31</v>
      </c>
      <c r="AL81">
        <v>9.86</v>
      </c>
      <c r="AM81">
        <v>6.06</v>
      </c>
      <c r="AN81">
        <v>1.28</v>
      </c>
      <c r="AO81">
        <v>1</v>
      </c>
      <c r="AP81">
        <v>8.1918829676862995E-2</v>
      </c>
      <c r="AQ81">
        <v>0.15204631265781399</v>
      </c>
      <c r="AR81">
        <v>0.76603485766532198</v>
      </c>
      <c r="AS81">
        <v>1</v>
      </c>
      <c r="AT81">
        <v>3.5056635415728898E-3</v>
      </c>
      <c r="AU81">
        <v>0.50953795979847305</v>
      </c>
      <c r="AV81">
        <f t="shared" si="10"/>
        <v>289.9424849385295</v>
      </c>
      <c r="AW81">
        <f t="shared" si="11"/>
        <v>23.751749039765844</v>
      </c>
      <c r="AX81">
        <f t="shared" si="12"/>
        <v>44.084685717747206</v>
      </c>
      <c r="AY81">
        <f t="shared" si="13"/>
        <v>222.10605018101646</v>
      </c>
      <c r="AZ81" cm="1">
        <f t="array" ref="AZ81">_xlfn.IFS(E81="H",AW81*AI81-AV81,E81="D",AX81*AJ81-AV81,E81="A",AY81*AK81-AV81)</f>
        <v>1.0164407986020478</v>
      </c>
      <c r="BA81">
        <f t="shared" si="14"/>
        <v>22.515832722838987</v>
      </c>
    </row>
    <row r="82" spans="1:53" x14ac:dyDescent="0.2">
      <c r="A82">
        <v>30</v>
      </c>
      <c r="B82" t="s">
        <v>55</v>
      </c>
      <c r="C82" s="1">
        <v>44002</v>
      </c>
      <c r="D82" t="s">
        <v>270</v>
      </c>
      <c r="E82" t="s">
        <v>57</v>
      </c>
      <c r="F82" t="s">
        <v>162</v>
      </c>
      <c r="G82" t="s">
        <v>113</v>
      </c>
      <c r="H82" t="s">
        <v>256</v>
      </c>
      <c r="I82" t="s">
        <v>237</v>
      </c>
      <c r="J82" t="s">
        <v>168</v>
      </c>
      <c r="K82" t="s">
        <v>54</v>
      </c>
      <c r="L82">
        <v>2020</v>
      </c>
      <c r="M82">
        <v>1.25</v>
      </c>
      <c r="N82">
        <v>0.75</v>
      </c>
      <c r="O82">
        <v>0.25</v>
      </c>
      <c r="P82">
        <v>0.5</v>
      </c>
      <c r="Q82">
        <v>1.8</v>
      </c>
      <c r="R82">
        <v>3.4</v>
      </c>
      <c r="S82">
        <v>5</v>
      </c>
      <c r="T82">
        <v>1.83</v>
      </c>
      <c r="U82">
        <v>3.4</v>
      </c>
      <c r="V82">
        <v>4.75</v>
      </c>
      <c r="W82">
        <v>1.8</v>
      </c>
      <c r="X82">
        <v>3.35</v>
      </c>
      <c r="Y82">
        <v>4.95</v>
      </c>
      <c r="Z82">
        <v>1.84</v>
      </c>
      <c r="AA82">
        <v>3.45</v>
      </c>
      <c r="AB82">
        <v>5.18</v>
      </c>
      <c r="AC82">
        <v>1.8</v>
      </c>
      <c r="AD82">
        <v>3.4</v>
      </c>
      <c r="AE82">
        <v>5</v>
      </c>
      <c r="AF82">
        <v>1.8</v>
      </c>
      <c r="AG82">
        <v>3.3</v>
      </c>
      <c r="AH82">
        <v>5</v>
      </c>
      <c r="AI82">
        <v>1.91</v>
      </c>
      <c r="AJ82">
        <v>3.49</v>
      </c>
      <c r="AK82">
        <v>5.35</v>
      </c>
      <c r="AL82">
        <v>1.82</v>
      </c>
      <c r="AM82">
        <v>3.37</v>
      </c>
      <c r="AN82">
        <v>4.95</v>
      </c>
      <c r="AO82">
        <v>1</v>
      </c>
      <c r="AP82">
        <v>0.52513085029488704</v>
      </c>
      <c r="AQ82">
        <v>0.287392528384881</v>
      </c>
      <c r="AR82">
        <v>0.18747662132022999</v>
      </c>
      <c r="AS82">
        <v>1</v>
      </c>
      <c r="AT82">
        <v>2.9999240632356799E-3</v>
      </c>
      <c r="AU82">
        <v>0.51253788386170895</v>
      </c>
      <c r="AV82">
        <f t="shared" si="10"/>
        <v>312.45831766136848</v>
      </c>
      <c r="AW82">
        <f t="shared" si="11"/>
        <v>164.08150203522456</v>
      </c>
      <c r="AX82">
        <f t="shared" si="12"/>
        <v>89.798185927587099</v>
      </c>
      <c r="AY82">
        <f t="shared" si="13"/>
        <v>58.57862969855681</v>
      </c>
      <c r="AZ82" cm="1">
        <f t="array" ref="AZ82">_xlfn.IFS(E82="H",AW82*AI82-AV82,E82="D",AX82*AJ82-AV82,E82="A",AY82*AK82-AV82)</f>
        <v>0.93735122591050413</v>
      </c>
      <c r="BA82">
        <f t="shared" si="14"/>
        <v>23.453183948749491</v>
      </c>
    </row>
    <row r="83" spans="1:53" x14ac:dyDescent="0.2">
      <c r="A83">
        <v>25</v>
      </c>
      <c r="B83" t="s">
        <v>67</v>
      </c>
      <c r="C83" s="1">
        <v>44003</v>
      </c>
      <c r="D83" t="s">
        <v>270</v>
      </c>
      <c r="E83" t="s">
        <v>49</v>
      </c>
      <c r="F83" t="s">
        <v>195</v>
      </c>
      <c r="G83" t="s">
        <v>109</v>
      </c>
      <c r="H83" t="s">
        <v>256</v>
      </c>
      <c r="I83" t="s">
        <v>207</v>
      </c>
      <c r="J83" t="s">
        <v>111</v>
      </c>
      <c r="K83" t="s">
        <v>54</v>
      </c>
      <c r="L83">
        <v>2020</v>
      </c>
      <c r="M83">
        <v>1.75</v>
      </c>
      <c r="N83">
        <v>2.5</v>
      </c>
      <c r="O83">
        <v>1</v>
      </c>
      <c r="P83">
        <v>0.75</v>
      </c>
      <c r="Q83">
        <v>1.33</v>
      </c>
      <c r="R83">
        <v>5.5</v>
      </c>
      <c r="S83">
        <v>8</v>
      </c>
      <c r="T83">
        <v>1.33</v>
      </c>
      <c r="U83">
        <v>5.5</v>
      </c>
      <c r="V83">
        <v>7.25</v>
      </c>
      <c r="W83">
        <v>1.36</v>
      </c>
      <c r="X83">
        <v>5.4</v>
      </c>
      <c r="Y83">
        <v>7.8</v>
      </c>
      <c r="Z83">
        <v>1.36</v>
      </c>
      <c r="AA83">
        <v>5.67</v>
      </c>
      <c r="AB83">
        <v>8.42</v>
      </c>
      <c r="AC83">
        <v>1.32</v>
      </c>
      <c r="AD83">
        <v>5.25</v>
      </c>
      <c r="AE83">
        <v>9</v>
      </c>
      <c r="AF83">
        <v>1.3</v>
      </c>
      <c r="AG83">
        <v>5.25</v>
      </c>
      <c r="AH83">
        <v>9</v>
      </c>
      <c r="AI83">
        <v>1.4</v>
      </c>
      <c r="AJ83">
        <v>5.85</v>
      </c>
      <c r="AK83">
        <v>9.5</v>
      </c>
      <c r="AL83">
        <v>1.35</v>
      </c>
      <c r="AM83">
        <v>5.4</v>
      </c>
      <c r="AN83">
        <v>8.17</v>
      </c>
      <c r="AO83">
        <v>1</v>
      </c>
      <c r="AP83">
        <v>0.72114448841886702</v>
      </c>
      <c r="AQ83">
        <v>0.17258158697203599</v>
      </c>
      <c r="AR83">
        <v>0.106273924609096</v>
      </c>
      <c r="AS83">
        <v>1</v>
      </c>
      <c r="AT83">
        <v>9.6022837864140308E-3</v>
      </c>
      <c r="AU83">
        <v>0.52214016764812299</v>
      </c>
      <c r="AV83">
        <f t="shared" si="10"/>
        <v>335.91150161011797</v>
      </c>
      <c r="AW83">
        <f t="shared" si="11"/>
        <v>242.240727982642</v>
      </c>
      <c r="AX83">
        <f t="shared" si="12"/>
        <v>57.972140030033984</v>
      </c>
      <c r="AY83">
        <f t="shared" si="13"/>
        <v>35.698633597441976</v>
      </c>
      <c r="AZ83" cm="1">
        <f t="array" ref="AZ83">_xlfn.IFS(E83="H",AW83*AI83-AV83,E83="D",AX83*AJ83-AV83,E83="A",AY83*AK83-AV83)</f>
        <v>3.2255175655807875</v>
      </c>
      <c r="BA83">
        <f t="shared" si="14"/>
        <v>26.678701514330278</v>
      </c>
    </row>
    <row r="84" spans="1:53" x14ac:dyDescent="0.2">
      <c r="A84">
        <v>30</v>
      </c>
      <c r="B84" t="s">
        <v>67</v>
      </c>
      <c r="C84" s="1">
        <v>44003</v>
      </c>
      <c r="D84" t="s">
        <v>259</v>
      </c>
      <c r="E84" t="s">
        <v>74</v>
      </c>
      <c r="F84" t="s">
        <v>158</v>
      </c>
      <c r="G84" t="s">
        <v>271</v>
      </c>
      <c r="H84" t="s">
        <v>256</v>
      </c>
      <c r="I84" t="s">
        <v>266</v>
      </c>
      <c r="J84" t="s">
        <v>272</v>
      </c>
      <c r="K84" t="s">
        <v>54</v>
      </c>
      <c r="L84">
        <v>2020</v>
      </c>
      <c r="M84">
        <v>2.5</v>
      </c>
      <c r="N84">
        <v>1.75</v>
      </c>
      <c r="O84">
        <v>1.5</v>
      </c>
      <c r="P84">
        <v>1.5</v>
      </c>
      <c r="Q84">
        <v>4.0999999999999996</v>
      </c>
      <c r="R84">
        <v>4.2</v>
      </c>
      <c r="S84">
        <v>1.75</v>
      </c>
      <c r="T84">
        <v>4.0999999999999996</v>
      </c>
      <c r="U84">
        <v>4</v>
      </c>
      <c r="V84">
        <v>1.8</v>
      </c>
      <c r="W84">
        <v>4.2</v>
      </c>
      <c r="X84">
        <v>4.0999999999999996</v>
      </c>
      <c r="Y84">
        <v>1.77</v>
      </c>
      <c r="Z84">
        <v>4.24</v>
      </c>
      <c r="AA84">
        <v>4.3600000000000003</v>
      </c>
      <c r="AB84">
        <v>1.78</v>
      </c>
      <c r="AC84">
        <v>4.2</v>
      </c>
      <c r="AD84">
        <v>4.2</v>
      </c>
      <c r="AE84">
        <v>1.75</v>
      </c>
      <c r="AF84">
        <v>4.2</v>
      </c>
      <c r="AG84">
        <v>4</v>
      </c>
      <c r="AH84">
        <v>1.75</v>
      </c>
      <c r="AI84">
        <v>4.5</v>
      </c>
      <c r="AJ84">
        <v>4.3600000000000003</v>
      </c>
      <c r="AK84">
        <v>1.84</v>
      </c>
      <c r="AL84">
        <v>4.16</v>
      </c>
      <c r="AM84">
        <v>4.1399999999999997</v>
      </c>
      <c r="AN84">
        <v>1.77</v>
      </c>
      <c r="AO84">
        <v>1</v>
      </c>
      <c r="AP84">
        <v>0.22332583569026501</v>
      </c>
      <c r="AQ84">
        <v>0.23049684876288801</v>
      </c>
      <c r="AR84">
        <v>0.54617731554684501</v>
      </c>
      <c r="AS84">
        <v>1</v>
      </c>
      <c r="AT84">
        <v>4.9662606061957604E-3</v>
      </c>
      <c r="AU84">
        <v>0.52710642825431897</v>
      </c>
      <c r="AV84">
        <f t="shared" si="10"/>
        <v>362.59020312444824</v>
      </c>
      <c r="AW84">
        <f t="shared" si="11"/>
        <v>80.975760125870593</v>
      </c>
      <c r="AX84">
        <f t="shared" si="12"/>
        <v>83.575899212481119</v>
      </c>
      <c r="AY84">
        <f t="shared" si="13"/>
        <v>198.03854378609657</v>
      </c>
      <c r="AZ84" cm="1">
        <f t="array" ref="AZ84">_xlfn.IFS(E84="H",AW84*AI84-AV84,E84="D",AX84*AJ84-AV84,E84="A",AY84*AK84-AV84)</f>
        <v>1.800717441969482</v>
      </c>
      <c r="BA84">
        <f t="shared" si="14"/>
        <v>28.47941895629976</v>
      </c>
    </row>
    <row r="85" spans="1:53" x14ac:dyDescent="0.2">
      <c r="A85">
        <v>27</v>
      </c>
      <c r="B85" t="s">
        <v>130</v>
      </c>
      <c r="C85" s="1">
        <v>44005</v>
      </c>
      <c r="D85" t="s">
        <v>273</v>
      </c>
      <c r="E85" t="s">
        <v>74</v>
      </c>
      <c r="F85" t="s">
        <v>274</v>
      </c>
      <c r="G85" t="s">
        <v>187</v>
      </c>
      <c r="H85" t="s">
        <v>256</v>
      </c>
      <c r="I85" t="s">
        <v>275</v>
      </c>
      <c r="J85" t="s">
        <v>276</v>
      </c>
      <c r="K85" t="s">
        <v>54</v>
      </c>
      <c r="L85">
        <v>2020</v>
      </c>
      <c r="M85">
        <v>1.5</v>
      </c>
      <c r="N85">
        <v>1.5</v>
      </c>
      <c r="O85">
        <v>1.25</v>
      </c>
      <c r="P85">
        <v>1.25</v>
      </c>
      <c r="Q85">
        <v>2.15</v>
      </c>
      <c r="R85">
        <v>3.3</v>
      </c>
      <c r="S85">
        <v>3.5</v>
      </c>
      <c r="T85">
        <v>2.2000000000000002</v>
      </c>
      <c r="U85">
        <v>3.3</v>
      </c>
      <c r="V85">
        <v>3.4</v>
      </c>
      <c r="W85">
        <v>2.2000000000000002</v>
      </c>
      <c r="X85">
        <v>3.3</v>
      </c>
      <c r="Y85">
        <v>3.45</v>
      </c>
      <c r="Z85">
        <v>2.2400000000000002</v>
      </c>
      <c r="AA85">
        <v>3.36</v>
      </c>
      <c r="AB85">
        <v>3.55</v>
      </c>
      <c r="AC85">
        <v>2.15</v>
      </c>
      <c r="AD85">
        <v>3.3</v>
      </c>
      <c r="AE85">
        <v>3.4</v>
      </c>
      <c r="AF85">
        <v>2.25</v>
      </c>
      <c r="AG85">
        <v>3.2</v>
      </c>
      <c r="AH85">
        <v>3.5</v>
      </c>
      <c r="AI85">
        <v>2.29</v>
      </c>
      <c r="AJ85">
        <v>3.5</v>
      </c>
      <c r="AK85">
        <v>3.65</v>
      </c>
      <c r="AL85">
        <v>2.21</v>
      </c>
      <c r="AM85">
        <v>3.29</v>
      </c>
      <c r="AN85">
        <v>3.45</v>
      </c>
      <c r="AO85">
        <v>1</v>
      </c>
      <c r="AP85">
        <v>0.43827298145702098</v>
      </c>
      <c r="AQ85">
        <v>0.28675575072473702</v>
      </c>
      <c r="AR85">
        <v>0.27497126781824099</v>
      </c>
      <c r="AS85">
        <v>0.999999999999999</v>
      </c>
      <c r="AT85">
        <v>3.64512753658008E-3</v>
      </c>
      <c r="AU85">
        <v>0.53075155579089905</v>
      </c>
      <c r="AV85">
        <f t="shared" si="10"/>
        <v>391.06962208074799</v>
      </c>
      <c r="AW85">
        <f t="shared" si="11"/>
        <v>171.39524922660016</v>
      </c>
      <c r="AX85">
        <f t="shared" si="12"/>
        <v>112.14146306540411</v>
      </c>
      <c r="AY85">
        <f t="shared" si="13"/>
        <v>107.53290978874369</v>
      </c>
      <c r="AZ85" cm="1">
        <f t="array" ref="AZ85">_xlfn.IFS(E85="H",AW85*AI85-AV85,E85="D",AX85*AJ85-AV85,E85="A",AY85*AK85-AV85)</f>
        <v>1.4254986481664673</v>
      </c>
      <c r="BA85">
        <f t="shared" si="14"/>
        <v>29.904917604466227</v>
      </c>
    </row>
    <row r="86" spans="1:53" x14ac:dyDescent="0.2">
      <c r="A86">
        <v>27</v>
      </c>
      <c r="B86" t="s">
        <v>202</v>
      </c>
      <c r="C86" s="1">
        <v>44006</v>
      </c>
      <c r="D86" t="s">
        <v>273</v>
      </c>
      <c r="E86" t="s">
        <v>49</v>
      </c>
      <c r="F86" t="s">
        <v>195</v>
      </c>
      <c r="G86" t="s">
        <v>184</v>
      </c>
      <c r="H86" t="s">
        <v>256</v>
      </c>
      <c r="I86" t="s">
        <v>207</v>
      </c>
      <c r="J86" t="s">
        <v>277</v>
      </c>
      <c r="K86" t="s">
        <v>54</v>
      </c>
      <c r="L86">
        <v>2020</v>
      </c>
      <c r="M86">
        <v>1.75</v>
      </c>
      <c r="N86">
        <v>2.25</v>
      </c>
      <c r="O86">
        <v>2.5</v>
      </c>
      <c r="P86">
        <v>1.75</v>
      </c>
      <c r="Q86">
        <v>2.1</v>
      </c>
      <c r="R86">
        <v>3.8</v>
      </c>
      <c r="S86">
        <v>3.2</v>
      </c>
      <c r="T86">
        <v>2.1</v>
      </c>
      <c r="U86">
        <v>3.7</v>
      </c>
      <c r="V86">
        <v>3.3</v>
      </c>
      <c r="W86">
        <v>2.1</v>
      </c>
      <c r="X86">
        <v>3.75</v>
      </c>
      <c r="Y86">
        <v>3.25</v>
      </c>
      <c r="Z86">
        <v>2.12</v>
      </c>
      <c r="AA86">
        <v>3.81</v>
      </c>
      <c r="AB86">
        <v>3.35</v>
      </c>
      <c r="AC86">
        <v>2.1</v>
      </c>
      <c r="AD86">
        <v>3.7</v>
      </c>
      <c r="AE86">
        <v>3.2</v>
      </c>
      <c r="AF86">
        <v>2.1</v>
      </c>
      <c r="AG86">
        <v>3.6</v>
      </c>
      <c r="AH86">
        <v>3.4</v>
      </c>
      <c r="AI86">
        <v>2.2400000000000002</v>
      </c>
      <c r="AJ86">
        <v>3.98</v>
      </c>
      <c r="AK86">
        <v>3.4</v>
      </c>
      <c r="AL86">
        <v>2.12</v>
      </c>
      <c r="AM86">
        <v>3.73</v>
      </c>
      <c r="AN86">
        <v>3.23</v>
      </c>
      <c r="AO86">
        <v>1</v>
      </c>
      <c r="AP86">
        <v>0.45011841720109602</v>
      </c>
      <c r="AQ86">
        <v>0.25333297852524</v>
      </c>
      <c r="AR86">
        <v>0.29654860427366297</v>
      </c>
      <c r="AS86">
        <v>1</v>
      </c>
      <c r="AT86">
        <v>8.2652545304560104E-3</v>
      </c>
      <c r="AU86">
        <v>0.53901681032135496</v>
      </c>
      <c r="AV86">
        <f t="shared" si="10"/>
        <v>420.97453968521421</v>
      </c>
      <c r="AW86">
        <f t="shared" si="11"/>
        <v>189.48839348506874</v>
      </c>
      <c r="AX86">
        <f t="shared" si="12"/>
        <v>106.64673402174722</v>
      </c>
      <c r="AY86">
        <f t="shared" si="13"/>
        <v>124.83941217839825</v>
      </c>
      <c r="AZ86" cm="1">
        <f t="array" ref="AZ86">_xlfn.IFS(E86="H",AW86*AI86-AV86,E86="D",AX86*AJ86-AV86,E86="A",AY86*AK86-AV86)</f>
        <v>3.4794617213398169</v>
      </c>
      <c r="BA86">
        <f t="shared" si="14"/>
        <v>33.384379325806044</v>
      </c>
    </row>
    <row r="87" spans="1:53" x14ac:dyDescent="0.2">
      <c r="A87">
        <v>27</v>
      </c>
      <c r="B87" t="s">
        <v>202</v>
      </c>
      <c r="C87" s="1">
        <v>44006</v>
      </c>
      <c r="D87" t="s">
        <v>273</v>
      </c>
      <c r="E87" t="s">
        <v>49</v>
      </c>
      <c r="F87" t="s">
        <v>108</v>
      </c>
      <c r="G87" t="s">
        <v>278</v>
      </c>
      <c r="H87" t="s">
        <v>256</v>
      </c>
      <c r="I87" t="s">
        <v>110</v>
      </c>
      <c r="J87" t="s">
        <v>279</v>
      </c>
      <c r="K87" t="s">
        <v>54</v>
      </c>
      <c r="L87">
        <v>2020</v>
      </c>
      <c r="M87">
        <v>1</v>
      </c>
      <c r="N87">
        <v>2</v>
      </c>
      <c r="O87">
        <v>1</v>
      </c>
      <c r="P87">
        <v>1.25</v>
      </c>
      <c r="Q87">
        <v>1.44</v>
      </c>
      <c r="R87">
        <v>4.5</v>
      </c>
      <c r="S87">
        <v>6.5</v>
      </c>
      <c r="T87">
        <v>1.48</v>
      </c>
      <c r="U87">
        <v>4.5999999999999996</v>
      </c>
      <c r="V87">
        <v>6.25</v>
      </c>
      <c r="W87">
        <v>1.48</v>
      </c>
      <c r="X87">
        <v>4.55</v>
      </c>
      <c r="Y87">
        <v>6.4</v>
      </c>
      <c r="Z87">
        <v>1.48</v>
      </c>
      <c r="AA87">
        <v>4.6399999999999997</v>
      </c>
      <c r="AB87">
        <v>6.91</v>
      </c>
      <c r="AC87">
        <v>1.44</v>
      </c>
      <c r="AD87">
        <v>4.4000000000000004</v>
      </c>
      <c r="AE87">
        <v>7</v>
      </c>
      <c r="AF87">
        <v>1.44</v>
      </c>
      <c r="AG87">
        <v>4.5</v>
      </c>
      <c r="AH87">
        <v>7.5</v>
      </c>
      <c r="AI87">
        <v>1.52</v>
      </c>
      <c r="AJ87">
        <v>4.8499999999999996</v>
      </c>
      <c r="AK87">
        <v>7.5</v>
      </c>
      <c r="AL87">
        <v>1.47</v>
      </c>
      <c r="AM87">
        <v>4.5599999999999996</v>
      </c>
      <c r="AN87">
        <v>6.64</v>
      </c>
      <c r="AO87">
        <v>1</v>
      </c>
      <c r="AP87">
        <v>0.65960070357408296</v>
      </c>
      <c r="AQ87">
        <v>0.20672022050156799</v>
      </c>
      <c r="AR87">
        <v>0.133679075924347</v>
      </c>
      <c r="AS87">
        <v>1</v>
      </c>
      <c r="AT87">
        <v>2.5930694326072798E-3</v>
      </c>
      <c r="AU87">
        <v>0.54160987975396202</v>
      </c>
      <c r="AV87">
        <f t="shared" si="10"/>
        <v>454.35891901102025</v>
      </c>
      <c r="AW87">
        <f t="shared" si="11"/>
        <v>299.6954626548291</v>
      </c>
      <c r="AX87">
        <f t="shared" si="12"/>
        <v>93.925175924812422</v>
      </c>
      <c r="AY87">
        <f t="shared" si="13"/>
        <v>60.738280431378705</v>
      </c>
      <c r="AZ87" cm="1">
        <f t="array" ref="AZ87">_xlfn.IFS(E87="H",AW87*AI87-AV87,E87="D",AX87*AJ87-AV87,E87="A",AY87*AK87-AV87)</f>
        <v>1.1781842243199776</v>
      </c>
      <c r="BA87">
        <f t="shared" si="14"/>
        <v>34.562563550126022</v>
      </c>
    </row>
    <row r="88" spans="1:53" x14ac:dyDescent="0.2">
      <c r="A88">
        <v>31</v>
      </c>
      <c r="B88" t="s">
        <v>229</v>
      </c>
      <c r="C88" s="1">
        <v>44007</v>
      </c>
      <c r="D88" t="s">
        <v>254</v>
      </c>
      <c r="E88" t="s">
        <v>74</v>
      </c>
      <c r="F88" t="s">
        <v>152</v>
      </c>
      <c r="G88" t="s">
        <v>178</v>
      </c>
      <c r="H88" t="s">
        <v>256</v>
      </c>
      <c r="I88" t="s">
        <v>154</v>
      </c>
      <c r="J88" t="s">
        <v>280</v>
      </c>
      <c r="K88" t="s">
        <v>54</v>
      </c>
      <c r="L88">
        <v>2020</v>
      </c>
      <c r="M88">
        <v>0.75</v>
      </c>
      <c r="N88">
        <v>1.25</v>
      </c>
      <c r="O88">
        <v>0.5</v>
      </c>
      <c r="P88">
        <v>0.75</v>
      </c>
      <c r="Q88">
        <v>2.6</v>
      </c>
      <c r="R88">
        <v>3.5</v>
      </c>
      <c r="S88">
        <v>2.62</v>
      </c>
      <c r="T88">
        <v>2.65</v>
      </c>
      <c r="U88">
        <v>3.4</v>
      </c>
      <c r="V88">
        <v>2.65</v>
      </c>
      <c r="W88">
        <v>2.6</v>
      </c>
      <c r="X88">
        <v>3.45</v>
      </c>
      <c r="Y88">
        <v>2.65</v>
      </c>
      <c r="Z88">
        <v>2.69</v>
      </c>
      <c r="AA88">
        <v>3.53</v>
      </c>
      <c r="AB88">
        <v>2.67</v>
      </c>
      <c r="AC88">
        <v>2.6</v>
      </c>
      <c r="AD88">
        <v>3.5</v>
      </c>
      <c r="AE88">
        <v>2.62</v>
      </c>
      <c r="AF88">
        <v>2.63</v>
      </c>
      <c r="AG88">
        <v>3.5</v>
      </c>
      <c r="AH88">
        <v>2.63</v>
      </c>
      <c r="AI88">
        <v>2.75</v>
      </c>
      <c r="AJ88">
        <v>3.65</v>
      </c>
      <c r="AK88">
        <v>2.8</v>
      </c>
      <c r="AL88">
        <v>2.64</v>
      </c>
      <c r="AM88">
        <v>3.47</v>
      </c>
      <c r="AN88">
        <v>2.65</v>
      </c>
      <c r="AO88">
        <v>1</v>
      </c>
      <c r="AP88">
        <v>0.36555486005544102</v>
      </c>
      <c r="AQ88">
        <v>0.27541804524725</v>
      </c>
      <c r="AR88">
        <v>0.35902709469730798</v>
      </c>
      <c r="AS88">
        <v>1</v>
      </c>
      <c r="AT88">
        <v>5.2758651524635802E-3</v>
      </c>
      <c r="AU88">
        <v>0.54688574490642505</v>
      </c>
      <c r="AV88">
        <f t="shared" si="10"/>
        <v>488.92148256114626</v>
      </c>
      <c r="AW88">
        <f t="shared" si="11"/>
        <v>178.72762413573869</v>
      </c>
      <c r="AX88">
        <f t="shared" si="12"/>
        <v>134.65779900637847</v>
      </c>
      <c r="AY88">
        <f t="shared" si="13"/>
        <v>175.5360594190291</v>
      </c>
      <c r="AZ88" cm="1">
        <f t="array" ref="AZ88">_xlfn.IFS(E88="H",AW88*AI88-AV88,E88="D",AX88*AJ88-AV88,E88="A",AY88*AK88-AV88)</f>
        <v>2.5794838121352086</v>
      </c>
      <c r="BA88">
        <f t="shared" si="14"/>
        <v>37.142047362261231</v>
      </c>
    </row>
    <row r="89" spans="1:53" x14ac:dyDescent="0.2">
      <c r="A89">
        <v>32</v>
      </c>
      <c r="B89" t="s">
        <v>47</v>
      </c>
      <c r="C89" s="1">
        <v>44008</v>
      </c>
      <c r="D89" t="s">
        <v>259</v>
      </c>
      <c r="E89" t="s">
        <v>57</v>
      </c>
      <c r="F89" t="s">
        <v>161</v>
      </c>
      <c r="G89" t="s">
        <v>166</v>
      </c>
      <c r="H89" t="s">
        <v>256</v>
      </c>
      <c r="I89" t="s">
        <v>163</v>
      </c>
      <c r="J89" t="s">
        <v>116</v>
      </c>
      <c r="K89" t="s">
        <v>54</v>
      </c>
      <c r="L89">
        <v>2020</v>
      </c>
      <c r="M89">
        <v>2</v>
      </c>
      <c r="N89">
        <v>1.75</v>
      </c>
      <c r="O89">
        <v>0.75</v>
      </c>
      <c r="P89">
        <v>0.75</v>
      </c>
      <c r="Q89">
        <v>1.4</v>
      </c>
      <c r="R89">
        <v>4.4000000000000004</v>
      </c>
      <c r="S89">
        <v>9</v>
      </c>
      <c r="T89">
        <v>1.42</v>
      </c>
      <c r="U89">
        <v>4.33</v>
      </c>
      <c r="V89">
        <v>8.75</v>
      </c>
      <c r="W89">
        <v>1.45</v>
      </c>
      <c r="X89">
        <v>4.3</v>
      </c>
      <c r="Y89">
        <v>7.6</v>
      </c>
      <c r="Z89">
        <v>1.44</v>
      </c>
      <c r="AA89">
        <v>4.43</v>
      </c>
      <c r="AB89">
        <v>9.0299999999999994</v>
      </c>
      <c r="AC89">
        <v>1.4</v>
      </c>
      <c r="AD89">
        <v>4.4000000000000004</v>
      </c>
      <c r="AE89">
        <v>9</v>
      </c>
      <c r="AF89">
        <v>1.4</v>
      </c>
      <c r="AG89">
        <v>4.2</v>
      </c>
      <c r="AH89">
        <v>9</v>
      </c>
      <c r="AI89">
        <v>1.47</v>
      </c>
      <c r="AJ89">
        <v>4.7</v>
      </c>
      <c r="AK89">
        <v>10</v>
      </c>
      <c r="AL89">
        <v>1.43</v>
      </c>
      <c r="AM89">
        <v>4.32</v>
      </c>
      <c r="AN89">
        <v>8.86</v>
      </c>
      <c r="AO89">
        <v>1</v>
      </c>
      <c r="AP89">
        <v>0.68504132110947502</v>
      </c>
      <c r="AQ89">
        <v>0.21425760468743099</v>
      </c>
      <c r="AR89">
        <v>0.100701074203092</v>
      </c>
      <c r="AS89">
        <v>1</v>
      </c>
      <c r="AT89">
        <v>7.0107420309290999E-3</v>
      </c>
      <c r="AU89">
        <v>0.55389648693735505</v>
      </c>
      <c r="AV89">
        <f t="shared" si="10"/>
        <v>526.06352992340749</v>
      </c>
      <c r="AW89">
        <f t="shared" si="11"/>
        <v>360.37525552624516</v>
      </c>
      <c r="AX89">
        <f t="shared" si="12"/>
        <v>112.71311183480434</v>
      </c>
      <c r="AY89">
        <f t="shared" si="13"/>
        <v>52.97516256235803</v>
      </c>
      <c r="AZ89" cm="1">
        <f t="array" ref="AZ89">_xlfn.IFS(E89="H",AW89*AI89-AV89,E89="D",AX89*AJ89-AV89,E89="A",AY89*AK89-AV89)</f>
        <v>3.6880957001728802</v>
      </c>
      <c r="BA89">
        <f t="shared" si="14"/>
        <v>40.830143062434111</v>
      </c>
    </row>
    <row r="90" spans="1:53" x14ac:dyDescent="0.2">
      <c r="A90">
        <v>34</v>
      </c>
      <c r="B90" t="s">
        <v>55</v>
      </c>
      <c r="C90" s="1">
        <v>44009</v>
      </c>
      <c r="D90" t="s">
        <v>73</v>
      </c>
      <c r="E90" t="s">
        <v>49</v>
      </c>
      <c r="F90" t="s">
        <v>171</v>
      </c>
      <c r="G90" t="s">
        <v>223</v>
      </c>
      <c r="H90" t="s">
        <v>256</v>
      </c>
      <c r="I90" t="s">
        <v>173</v>
      </c>
      <c r="J90" t="s">
        <v>257</v>
      </c>
      <c r="K90" t="s">
        <v>54</v>
      </c>
      <c r="L90">
        <v>2020</v>
      </c>
      <c r="M90">
        <v>0.25</v>
      </c>
      <c r="N90">
        <v>0</v>
      </c>
      <c r="O90">
        <v>0.25</v>
      </c>
      <c r="P90">
        <v>1</v>
      </c>
      <c r="Q90">
        <v>1.57</v>
      </c>
      <c r="R90">
        <v>4.2</v>
      </c>
      <c r="S90">
        <v>5.25</v>
      </c>
      <c r="T90">
        <v>1.62</v>
      </c>
      <c r="U90">
        <v>4.33</v>
      </c>
      <c r="V90">
        <v>5</v>
      </c>
      <c r="W90">
        <v>1.63</v>
      </c>
      <c r="X90">
        <v>4.4000000000000004</v>
      </c>
      <c r="Y90">
        <v>4.8</v>
      </c>
      <c r="Z90">
        <v>1.65</v>
      </c>
      <c r="AA90">
        <v>4.43</v>
      </c>
      <c r="AB90">
        <v>4.91</v>
      </c>
      <c r="AC90">
        <v>1.6</v>
      </c>
      <c r="AD90">
        <v>4.33</v>
      </c>
      <c r="AE90">
        <v>5.25</v>
      </c>
      <c r="AF90">
        <v>1.6</v>
      </c>
      <c r="AG90">
        <v>4.5999999999999996</v>
      </c>
      <c r="AH90">
        <v>5</v>
      </c>
      <c r="AI90">
        <v>1.68</v>
      </c>
      <c r="AJ90">
        <v>4.5999999999999996</v>
      </c>
      <c r="AK90">
        <v>5.55</v>
      </c>
      <c r="AL90">
        <v>1.62</v>
      </c>
      <c r="AM90">
        <v>4.3600000000000003</v>
      </c>
      <c r="AN90">
        <v>4.93</v>
      </c>
      <c r="AO90">
        <v>1</v>
      </c>
      <c r="AP90">
        <v>0.59954910525574101</v>
      </c>
      <c r="AQ90">
        <v>0.21896576018035699</v>
      </c>
      <c r="AR90">
        <v>0.1814851345639</v>
      </c>
      <c r="AS90">
        <v>0.999999999999999</v>
      </c>
      <c r="AT90">
        <v>7.2424968296460604E-3</v>
      </c>
      <c r="AU90">
        <v>0.561138983767001</v>
      </c>
      <c r="AV90">
        <f t="shared" si="10"/>
        <v>566.89367298584159</v>
      </c>
      <c r="AW90">
        <f t="shared" si="11"/>
        <v>339.88059441380244</v>
      </c>
      <c r="AX90">
        <f t="shared" si="12"/>
        <v>124.13030404678004</v>
      </c>
      <c r="AY90">
        <f t="shared" si="13"/>
        <v>102.88277452525912</v>
      </c>
      <c r="AZ90" cm="1">
        <f t="array" ref="AZ90">_xlfn.IFS(E90="H",AW90*AI90-AV90,E90="D",AX90*AJ90-AV90,E90="A",AY90*AK90-AV90)</f>
        <v>4.1057256293464661</v>
      </c>
      <c r="BA90">
        <f t="shared" si="14"/>
        <v>44.935868691780577</v>
      </c>
    </row>
    <row r="91" spans="1:53" x14ac:dyDescent="0.2">
      <c r="A91">
        <v>32</v>
      </c>
      <c r="B91" t="s">
        <v>198</v>
      </c>
      <c r="C91" s="1">
        <v>44011</v>
      </c>
      <c r="D91" t="s">
        <v>151</v>
      </c>
      <c r="E91" t="s">
        <v>74</v>
      </c>
      <c r="F91" t="s">
        <v>281</v>
      </c>
      <c r="G91" t="s">
        <v>249</v>
      </c>
      <c r="H91" t="s">
        <v>256</v>
      </c>
      <c r="I91" t="s">
        <v>282</v>
      </c>
      <c r="J91" t="s">
        <v>283</v>
      </c>
      <c r="K91" t="s">
        <v>54</v>
      </c>
      <c r="L91">
        <v>2020</v>
      </c>
      <c r="M91">
        <v>1.5</v>
      </c>
      <c r="N91">
        <v>0.5</v>
      </c>
      <c r="O91">
        <v>1.75</v>
      </c>
      <c r="P91">
        <v>1</v>
      </c>
      <c r="Q91">
        <v>2.25</v>
      </c>
      <c r="R91">
        <v>3.2</v>
      </c>
      <c r="S91">
        <v>3.4</v>
      </c>
      <c r="T91">
        <v>2.25</v>
      </c>
      <c r="U91">
        <v>3.2</v>
      </c>
      <c r="V91">
        <v>3.4</v>
      </c>
      <c r="W91">
        <v>2.2999999999999998</v>
      </c>
      <c r="X91">
        <v>3.1</v>
      </c>
      <c r="Y91">
        <v>3.35</v>
      </c>
      <c r="Z91">
        <v>2.37</v>
      </c>
      <c r="AA91">
        <v>3.18</v>
      </c>
      <c r="AB91">
        <v>3.41</v>
      </c>
      <c r="AC91">
        <v>2.2999999999999998</v>
      </c>
      <c r="AD91">
        <v>3.2</v>
      </c>
      <c r="AE91">
        <v>3.3</v>
      </c>
      <c r="AF91">
        <v>2.25</v>
      </c>
      <c r="AG91">
        <v>3.1</v>
      </c>
      <c r="AH91">
        <v>3.5</v>
      </c>
      <c r="AI91">
        <v>2.42</v>
      </c>
      <c r="AJ91">
        <v>3.32</v>
      </c>
      <c r="AK91">
        <v>3.55</v>
      </c>
      <c r="AL91">
        <v>2.29</v>
      </c>
      <c r="AM91">
        <v>3.16</v>
      </c>
      <c r="AN91">
        <v>3.41</v>
      </c>
      <c r="AO91">
        <v>1</v>
      </c>
      <c r="AP91">
        <v>0.41483348233455503</v>
      </c>
      <c r="AQ91">
        <v>0.30237862266554899</v>
      </c>
      <c r="AR91">
        <v>0.28278789499989399</v>
      </c>
      <c r="AS91">
        <v>1</v>
      </c>
      <c r="AT91">
        <v>3.8970272496252601E-3</v>
      </c>
      <c r="AU91">
        <v>0.56503601101662604</v>
      </c>
      <c r="AV91">
        <f t="shared" si="10"/>
        <v>611.82954167762216</v>
      </c>
      <c r="AW91">
        <f t="shared" si="11"/>
        <v>253.80737936928327</v>
      </c>
      <c r="AX91">
        <f t="shared" si="12"/>
        <v>185.00417411857396</v>
      </c>
      <c r="AY91">
        <f t="shared" si="13"/>
        <v>173.01798818976494</v>
      </c>
      <c r="AZ91" cm="1">
        <f t="array" ref="AZ91">_xlfn.IFS(E91="H",AW91*AI91-AV91,E91="D",AX91*AJ91-AV91,E91="A",AY91*AK91-AV91)</f>
        <v>2.3843163960433458</v>
      </c>
      <c r="BA91">
        <f t="shared" si="14"/>
        <v>47.320185087823923</v>
      </c>
    </row>
    <row r="92" spans="1:53" x14ac:dyDescent="0.2">
      <c r="A92">
        <v>29</v>
      </c>
      <c r="B92" t="s">
        <v>130</v>
      </c>
      <c r="C92" s="1">
        <v>44012</v>
      </c>
      <c r="D92" t="s">
        <v>273</v>
      </c>
      <c r="E92" t="s">
        <v>74</v>
      </c>
      <c r="F92" t="s">
        <v>274</v>
      </c>
      <c r="G92" t="s">
        <v>132</v>
      </c>
      <c r="H92" t="s">
        <v>256</v>
      </c>
      <c r="I92" t="s">
        <v>275</v>
      </c>
      <c r="J92" t="s">
        <v>279</v>
      </c>
      <c r="K92" t="s">
        <v>54</v>
      </c>
      <c r="L92">
        <v>2020</v>
      </c>
      <c r="M92">
        <v>0.75</v>
      </c>
      <c r="N92">
        <v>1.25</v>
      </c>
      <c r="O92">
        <v>1.5</v>
      </c>
      <c r="P92">
        <v>1.5</v>
      </c>
      <c r="Q92">
        <v>8.5</v>
      </c>
      <c r="R92">
        <v>5</v>
      </c>
      <c r="S92">
        <v>1.36</v>
      </c>
      <c r="T92">
        <v>9.25</v>
      </c>
      <c r="U92">
        <v>4.75</v>
      </c>
      <c r="V92">
        <v>1.36</v>
      </c>
      <c r="W92">
        <v>8.5</v>
      </c>
      <c r="X92">
        <v>4.5</v>
      </c>
      <c r="Y92">
        <v>1.4</v>
      </c>
      <c r="Z92">
        <v>9.93</v>
      </c>
      <c r="AA92">
        <v>4.7</v>
      </c>
      <c r="AB92">
        <v>1.4</v>
      </c>
      <c r="AC92">
        <v>10</v>
      </c>
      <c r="AD92">
        <v>4.5999999999999996</v>
      </c>
      <c r="AE92">
        <v>1.35</v>
      </c>
      <c r="AF92">
        <v>11</v>
      </c>
      <c r="AG92">
        <v>4.8</v>
      </c>
      <c r="AH92">
        <v>1.33</v>
      </c>
      <c r="AI92">
        <v>11</v>
      </c>
      <c r="AJ92">
        <v>5</v>
      </c>
      <c r="AK92">
        <v>1.42</v>
      </c>
      <c r="AL92">
        <v>9.31</v>
      </c>
      <c r="AM92">
        <v>4.7</v>
      </c>
      <c r="AN92">
        <v>1.38</v>
      </c>
      <c r="AO92">
        <v>1</v>
      </c>
      <c r="AP92">
        <v>9.13535769428718E-2</v>
      </c>
      <c r="AQ92">
        <v>0.20097786927431799</v>
      </c>
      <c r="AR92">
        <v>0.70766855378281002</v>
      </c>
      <c r="AS92">
        <v>0.999999999999999</v>
      </c>
      <c r="AT92">
        <v>4.8893463715902197E-3</v>
      </c>
      <c r="AU92">
        <v>0.56992535738821604</v>
      </c>
      <c r="AV92">
        <f t="shared" si="10"/>
        <v>659.14972676544608</v>
      </c>
      <c r="AW92">
        <f t="shared" si="11"/>
        <v>60.215685280940129</v>
      </c>
      <c r="AX92">
        <f t="shared" si="12"/>
        <v>132.47450761806829</v>
      </c>
      <c r="AY92">
        <f t="shared" si="13"/>
        <v>466.4595338664376</v>
      </c>
      <c r="AZ92" cm="1">
        <f t="array" ref="AZ92">_xlfn.IFS(E92="H",AW92*AI92-AV92,E92="D",AX92*AJ92-AV92,E92="A",AY92*AK92-AV92)</f>
        <v>3.2228113248952468</v>
      </c>
      <c r="BA92">
        <f t="shared" si="14"/>
        <v>50.54299641271917</v>
      </c>
    </row>
    <row r="93" spans="1:53" x14ac:dyDescent="0.2">
      <c r="A93">
        <v>32</v>
      </c>
      <c r="B93" t="s">
        <v>130</v>
      </c>
      <c r="C93" s="1">
        <v>44012</v>
      </c>
      <c r="D93" t="s">
        <v>234</v>
      </c>
      <c r="E93" t="s">
        <v>74</v>
      </c>
      <c r="F93" t="s">
        <v>284</v>
      </c>
      <c r="G93" t="s">
        <v>127</v>
      </c>
      <c r="H93" t="s">
        <v>256</v>
      </c>
      <c r="I93" t="s">
        <v>285</v>
      </c>
      <c r="J93" t="s">
        <v>155</v>
      </c>
      <c r="K93" t="s">
        <v>54</v>
      </c>
      <c r="L93">
        <v>2020</v>
      </c>
      <c r="M93">
        <v>1.25</v>
      </c>
      <c r="N93">
        <v>1</v>
      </c>
      <c r="O93">
        <v>1.25</v>
      </c>
      <c r="P93">
        <v>1</v>
      </c>
      <c r="Q93">
        <v>6</v>
      </c>
      <c r="R93">
        <v>3.8</v>
      </c>
      <c r="S93">
        <v>1.61</v>
      </c>
      <c r="T93">
        <v>6</v>
      </c>
      <c r="U93">
        <v>3.8</v>
      </c>
      <c r="V93">
        <v>1.62</v>
      </c>
      <c r="W93">
        <v>6.1</v>
      </c>
      <c r="X93">
        <v>3.85</v>
      </c>
      <c r="Y93">
        <v>1.6</v>
      </c>
      <c r="Z93">
        <v>6.61</v>
      </c>
      <c r="AA93">
        <v>3.92</v>
      </c>
      <c r="AB93">
        <v>1.62</v>
      </c>
      <c r="AC93">
        <v>6.5</v>
      </c>
      <c r="AD93">
        <v>3.9</v>
      </c>
      <c r="AE93">
        <v>1.57</v>
      </c>
      <c r="AF93">
        <v>7</v>
      </c>
      <c r="AG93">
        <v>3.9</v>
      </c>
      <c r="AH93">
        <v>1.57</v>
      </c>
      <c r="AI93">
        <v>7</v>
      </c>
      <c r="AJ93">
        <v>4.0999999999999996</v>
      </c>
      <c r="AK93">
        <v>1.64</v>
      </c>
      <c r="AL93">
        <v>6.31</v>
      </c>
      <c r="AM93">
        <v>3.85</v>
      </c>
      <c r="AN93">
        <v>1.61</v>
      </c>
      <c r="AO93">
        <v>1</v>
      </c>
      <c r="AP93">
        <v>0.143356643356643</v>
      </c>
      <c r="AQ93">
        <v>0.24475524475524399</v>
      </c>
      <c r="AR93">
        <v>0.61188811188811099</v>
      </c>
      <c r="AS93">
        <v>1</v>
      </c>
      <c r="AT93">
        <v>3.49650349650332E-3</v>
      </c>
      <c r="AU93">
        <v>0.57342186088471903</v>
      </c>
      <c r="AV93">
        <f t="shared" si="10"/>
        <v>709.69272317816524</v>
      </c>
      <c r="AW93">
        <f t="shared" si="11"/>
        <v>101.73916660945724</v>
      </c>
      <c r="AX93">
        <f t="shared" si="12"/>
        <v>173.701016162488</v>
      </c>
      <c r="AY93">
        <f t="shared" si="13"/>
        <v>434.25254040621996</v>
      </c>
      <c r="AZ93" cm="1">
        <f t="array" ref="AZ93">_xlfn.IFS(E93="H",AW93*AI93-AV93,E93="D",AX93*AJ93-AV93,E93="A",AY93*AK93-AV93)</f>
        <v>2.4814430880354621</v>
      </c>
      <c r="BA93">
        <f t="shared" si="14"/>
        <v>53.024439500754632</v>
      </c>
    </row>
    <row r="94" spans="1:53" x14ac:dyDescent="0.2">
      <c r="A94">
        <v>33</v>
      </c>
      <c r="B94" t="s">
        <v>202</v>
      </c>
      <c r="C94" s="1">
        <v>44013</v>
      </c>
      <c r="D94" t="s">
        <v>270</v>
      </c>
      <c r="E94" t="s">
        <v>74</v>
      </c>
      <c r="F94" t="s">
        <v>286</v>
      </c>
      <c r="G94" t="s">
        <v>287</v>
      </c>
      <c r="H94" t="s">
        <v>256</v>
      </c>
      <c r="I94" t="s">
        <v>288</v>
      </c>
      <c r="J94" t="s">
        <v>238</v>
      </c>
      <c r="K94" t="s">
        <v>54</v>
      </c>
      <c r="L94">
        <v>2020</v>
      </c>
      <c r="M94">
        <v>1.75</v>
      </c>
      <c r="N94">
        <v>1.25</v>
      </c>
      <c r="O94">
        <v>1.5</v>
      </c>
      <c r="P94">
        <v>1.5</v>
      </c>
      <c r="Q94">
        <v>2.2999999999999998</v>
      </c>
      <c r="R94">
        <v>2.9</v>
      </c>
      <c r="S94">
        <v>3.6</v>
      </c>
      <c r="T94">
        <v>2.2999999999999998</v>
      </c>
      <c r="U94">
        <v>3</v>
      </c>
      <c r="V94">
        <v>3.5</v>
      </c>
      <c r="W94">
        <v>2.35</v>
      </c>
      <c r="X94">
        <v>3</v>
      </c>
      <c r="Y94">
        <v>3.45</v>
      </c>
      <c r="Z94">
        <v>2.39</v>
      </c>
      <c r="AA94">
        <v>3.09</v>
      </c>
      <c r="AB94">
        <v>3.53</v>
      </c>
      <c r="AC94">
        <v>2.2999999999999998</v>
      </c>
      <c r="AD94">
        <v>3</v>
      </c>
      <c r="AE94">
        <v>3.5</v>
      </c>
      <c r="AF94">
        <v>2.2999999999999998</v>
      </c>
      <c r="AG94">
        <v>3.1</v>
      </c>
      <c r="AH94">
        <v>3.4</v>
      </c>
      <c r="AI94">
        <v>2.44</v>
      </c>
      <c r="AJ94">
        <v>3.18</v>
      </c>
      <c r="AK94">
        <v>3.66</v>
      </c>
      <c r="AL94">
        <v>2.34</v>
      </c>
      <c r="AM94">
        <v>3.01</v>
      </c>
      <c r="AN94">
        <v>3.46</v>
      </c>
      <c r="AO94">
        <v>1</v>
      </c>
      <c r="AP94">
        <v>0.41085271317829403</v>
      </c>
      <c r="AQ94">
        <v>0.31524547803617498</v>
      </c>
      <c r="AR94">
        <v>0.273901808785529</v>
      </c>
      <c r="AS94">
        <v>1</v>
      </c>
      <c r="AT94">
        <v>2.4806201550389099E-3</v>
      </c>
      <c r="AU94">
        <v>0.57590248103975805</v>
      </c>
      <c r="AV94">
        <f t="shared" si="10"/>
        <v>762.71716267891986</v>
      </c>
      <c r="AW94">
        <f t="shared" si="11"/>
        <v>313.36441567428494</v>
      </c>
      <c r="AX94">
        <f t="shared" si="12"/>
        <v>240.44313655511172</v>
      </c>
      <c r="AY94">
        <f t="shared" si="13"/>
        <v>208.90961044952329</v>
      </c>
      <c r="AZ94" cm="1">
        <f t="array" ref="AZ94">_xlfn.IFS(E94="H",AW94*AI94-AV94,E94="D",AX94*AJ94-AV94,E94="A",AY94*AK94-AV94)</f>
        <v>1.8920115663354409</v>
      </c>
      <c r="BA94">
        <f t="shared" si="14"/>
        <v>54.916451067090073</v>
      </c>
    </row>
    <row r="95" spans="1:53" x14ac:dyDescent="0.2">
      <c r="A95">
        <v>33</v>
      </c>
      <c r="B95" t="s">
        <v>229</v>
      </c>
      <c r="C95" s="1">
        <v>44014</v>
      </c>
      <c r="D95" t="s">
        <v>259</v>
      </c>
      <c r="E95" t="s">
        <v>49</v>
      </c>
      <c r="F95" t="s">
        <v>271</v>
      </c>
      <c r="G95" t="s">
        <v>162</v>
      </c>
      <c r="H95" t="s">
        <v>256</v>
      </c>
      <c r="I95" t="s">
        <v>289</v>
      </c>
      <c r="J95" t="s">
        <v>89</v>
      </c>
      <c r="K95" t="s">
        <v>54</v>
      </c>
      <c r="L95">
        <v>2020</v>
      </c>
      <c r="M95">
        <v>3</v>
      </c>
      <c r="N95">
        <v>2.5</v>
      </c>
      <c r="O95">
        <v>1</v>
      </c>
      <c r="P95">
        <v>1</v>
      </c>
      <c r="Q95">
        <v>1.36</v>
      </c>
      <c r="R95">
        <v>4.75</v>
      </c>
      <c r="S95">
        <v>8.5</v>
      </c>
      <c r="T95">
        <v>1.36</v>
      </c>
      <c r="U95">
        <v>5</v>
      </c>
      <c r="V95">
        <v>9</v>
      </c>
      <c r="W95">
        <v>1.4</v>
      </c>
      <c r="X95">
        <v>4.75</v>
      </c>
      <c r="Y95">
        <v>8.3000000000000007</v>
      </c>
      <c r="Z95">
        <v>1.39</v>
      </c>
      <c r="AA95">
        <v>4.93</v>
      </c>
      <c r="AB95">
        <v>9.39</v>
      </c>
      <c r="AC95">
        <v>1.35</v>
      </c>
      <c r="AD95">
        <v>4.8</v>
      </c>
      <c r="AE95">
        <v>9.5</v>
      </c>
      <c r="AF95">
        <v>1.36</v>
      </c>
      <c r="AG95">
        <v>4.8</v>
      </c>
      <c r="AH95">
        <v>8.5</v>
      </c>
      <c r="AI95">
        <v>1.42</v>
      </c>
      <c r="AJ95">
        <v>5.2</v>
      </c>
      <c r="AK95">
        <v>10.56</v>
      </c>
      <c r="AL95">
        <v>1.38</v>
      </c>
      <c r="AM95">
        <v>4.83</v>
      </c>
      <c r="AN95">
        <v>8.76</v>
      </c>
      <c r="AO95">
        <v>1</v>
      </c>
      <c r="AP95">
        <v>0.71045604156747399</v>
      </c>
      <c r="AQ95">
        <v>0.19400914981265599</v>
      </c>
      <c r="AR95">
        <v>9.5534808619868697E-2</v>
      </c>
      <c r="AS95">
        <v>0.999999999999999</v>
      </c>
      <c r="AT95">
        <v>8.8475790258140102E-3</v>
      </c>
      <c r="AU95">
        <v>0.58475006006557195</v>
      </c>
      <c r="AV95">
        <f t="shared" si="10"/>
        <v>817.63361374600993</v>
      </c>
      <c r="AW95">
        <f t="shared" si="11"/>
        <v>580.89274067449981</v>
      </c>
      <c r="AX95">
        <f t="shared" si="12"/>
        <v>158.62840226111339</v>
      </c>
      <c r="AY95">
        <f t="shared" si="13"/>
        <v>78.112470810396744</v>
      </c>
      <c r="AZ95" cm="1">
        <f t="array" ref="AZ95">_xlfn.IFS(E95="H",AW95*AI95-AV95,E95="D",AX95*AJ95-AV95,E95="A",AY95*AK95-AV95)</f>
        <v>7.2340780117797294</v>
      </c>
      <c r="BA95">
        <f t="shared" si="14"/>
        <v>62.150529078869802</v>
      </c>
    </row>
    <row r="96" spans="1:53" x14ac:dyDescent="0.2">
      <c r="A96">
        <v>32</v>
      </c>
      <c r="B96" t="s">
        <v>229</v>
      </c>
      <c r="C96" s="1">
        <v>44014</v>
      </c>
      <c r="D96" t="s">
        <v>234</v>
      </c>
      <c r="E96" t="s">
        <v>49</v>
      </c>
      <c r="F96" t="s">
        <v>101</v>
      </c>
      <c r="G96" t="s">
        <v>210</v>
      </c>
      <c r="H96" t="s">
        <v>256</v>
      </c>
      <c r="I96" t="s">
        <v>290</v>
      </c>
      <c r="J96" t="s">
        <v>129</v>
      </c>
      <c r="K96" t="s">
        <v>54</v>
      </c>
      <c r="L96">
        <v>2020</v>
      </c>
      <c r="M96">
        <v>2.5</v>
      </c>
      <c r="N96">
        <v>3</v>
      </c>
      <c r="O96">
        <v>1.75</v>
      </c>
      <c r="P96">
        <v>0.75</v>
      </c>
      <c r="Q96">
        <v>2.0499999999999998</v>
      </c>
      <c r="R96">
        <v>3.9</v>
      </c>
      <c r="S96">
        <v>3.3</v>
      </c>
      <c r="T96">
        <v>2.0499999999999998</v>
      </c>
      <c r="U96">
        <v>3.8</v>
      </c>
      <c r="V96">
        <v>3.3</v>
      </c>
      <c r="W96">
        <v>2.0499999999999998</v>
      </c>
      <c r="X96">
        <v>3.8</v>
      </c>
      <c r="Y96">
        <v>3.3</v>
      </c>
      <c r="Z96">
        <v>2.08</v>
      </c>
      <c r="AA96">
        <v>4.01</v>
      </c>
      <c r="AB96">
        <v>3.42</v>
      </c>
      <c r="AC96">
        <v>2.0499999999999998</v>
      </c>
      <c r="AD96">
        <v>3.8</v>
      </c>
      <c r="AE96">
        <v>3.3</v>
      </c>
      <c r="AF96">
        <v>2.1</v>
      </c>
      <c r="AG96">
        <v>3.75</v>
      </c>
      <c r="AH96">
        <v>3.3</v>
      </c>
      <c r="AI96">
        <v>2.14</v>
      </c>
      <c r="AJ96">
        <v>4.32</v>
      </c>
      <c r="AK96">
        <v>3.52</v>
      </c>
      <c r="AL96">
        <v>2.0699999999999998</v>
      </c>
      <c r="AM96">
        <v>3.85</v>
      </c>
      <c r="AN96">
        <v>3.32</v>
      </c>
      <c r="AO96">
        <v>1</v>
      </c>
      <c r="AP96">
        <v>0.47543771885942898</v>
      </c>
      <c r="AQ96">
        <v>0.23551775887943899</v>
      </c>
      <c r="AR96">
        <v>0.28904452226112998</v>
      </c>
      <c r="AS96">
        <v>1</v>
      </c>
      <c r="AT96">
        <v>1.74367183591797E-2</v>
      </c>
      <c r="AU96">
        <v>0.60218677842475199</v>
      </c>
      <c r="AV96">
        <f t="shared" si="10"/>
        <v>879.78414282487972</v>
      </c>
      <c r="AW96">
        <f t="shared" si="11"/>
        <v>418.28256595335955</v>
      </c>
      <c r="AX96">
        <f t="shared" si="12"/>
        <v>207.20478961578456</v>
      </c>
      <c r="AY96">
        <f t="shared" si="13"/>
        <v>254.29678725573561</v>
      </c>
      <c r="AZ96" cm="1">
        <f t="array" ref="AZ96">_xlfn.IFS(E96="H",AW96*AI96-AV96,E96="D",AX96*AJ96-AV96,E96="A",AY96*AK96-AV96)</f>
        <v>15.340548315309775</v>
      </c>
      <c r="BA96">
        <f t="shared" si="14"/>
        <v>77.49107739417957</v>
      </c>
    </row>
    <row r="97" spans="1:53" x14ac:dyDescent="0.2">
      <c r="A97">
        <v>34</v>
      </c>
      <c r="B97" t="s">
        <v>47</v>
      </c>
      <c r="C97" s="1">
        <v>44015</v>
      </c>
      <c r="D97" t="s">
        <v>259</v>
      </c>
      <c r="E97" t="s">
        <v>49</v>
      </c>
      <c r="F97" t="s">
        <v>291</v>
      </c>
      <c r="G97" t="s">
        <v>263</v>
      </c>
      <c r="H97" t="s">
        <v>256</v>
      </c>
      <c r="I97" t="s">
        <v>292</v>
      </c>
      <c r="J97" t="s">
        <v>168</v>
      </c>
      <c r="K97" t="s">
        <v>54</v>
      </c>
      <c r="L97">
        <v>2020</v>
      </c>
      <c r="M97">
        <v>2.5</v>
      </c>
      <c r="N97">
        <v>2</v>
      </c>
      <c r="O97">
        <v>0.75</v>
      </c>
      <c r="P97">
        <v>0.75</v>
      </c>
      <c r="Q97">
        <v>1.28</v>
      </c>
      <c r="R97">
        <v>5.25</v>
      </c>
      <c r="S97">
        <v>11</v>
      </c>
      <c r="T97">
        <v>1.3</v>
      </c>
      <c r="U97">
        <v>5.5</v>
      </c>
      <c r="V97">
        <v>10.5</v>
      </c>
      <c r="W97">
        <v>1.33</v>
      </c>
      <c r="X97">
        <v>4.8</v>
      </c>
      <c r="Y97">
        <v>11</v>
      </c>
      <c r="Z97">
        <v>1.3</v>
      </c>
      <c r="AA97">
        <v>5.5</v>
      </c>
      <c r="AB97">
        <v>11.87</v>
      </c>
      <c r="AC97">
        <v>1.27</v>
      </c>
      <c r="AD97">
        <v>5.5</v>
      </c>
      <c r="AE97">
        <v>12</v>
      </c>
      <c r="AF97">
        <v>1.3</v>
      </c>
      <c r="AG97">
        <v>5.25</v>
      </c>
      <c r="AH97">
        <v>10.5</v>
      </c>
      <c r="AI97">
        <v>1.33</v>
      </c>
      <c r="AJ97">
        <v>5.95</v>
      </c>
      <c r="AK97">
        <v>12.75</v>
      </c>
      <c r="AL97">
        <v>1.3</v>
      </c>
      <c r="AM97">
        <v>5.39</v>
      </c>
      <c r="AN97">
        <v>11.01</v>
      </c>
      <c r="AO97">
        <v>1</v>
      </c>
      <c r="AP97">
        <v>0.75310100413467196</v>
      </c>
      <c r="AQ97">
        <v>0.168340224453632</v>
      </c>
      <c r="AR97">
        <v>7.8558771411695205E-2</v>
      </c>
      <c r="AS97">
        <v>1</v>
      </c>
      <c r="AT97">
        <v>1.62433549911411E-3</v>
      </c>
      <c r="AU97">
        <v>0.60381111392386599</v>
      </c>
      <c r="AV97">
        <f t="shared" si="10"/>
        <v>957.27522021905929</v>
      </c>
      <c r="AW97">
        <f t="shared" si="11"/>
        <v>720.92492958021296</v>
      </c>
      <c r="AX97">
        <f t="shared" si="12"/>
        <v>161.14792543557701</v>
      </c>
      <c r="AY97">
        <f t="shared" si="13"/>
        <v>75.202365203269281</v>
      </c>
      <c r="AZ97" cm="1">
        <f t="array" ref="AZ97">_xlfn.IFS(E97="H",AW97*AI97-AV97,E97="D",AX97*AJ97-AV97,E97="A",AY97*AK97-AV97)</f>
        <v>1.5549361226239853</v>
      </c>
      <c r="BA97">
        <f t="shared" si="14"/>
        <v>79.046013516803555</v>
      </c>
    </row>
    <row r="98" spans="1:53" x14ac:dyDescent="0.2">
      <c r="A98">
        <v>33</v>
      </c>
      <c r="B98" t="s">
        <v>55</v>
      </c>
      <c r="C98" s="1">
        <v>44016</v>
      </c>
      <c r="D98" t="s">
        <v>151</v>
      </c>
      <c r="E98" t="s">
        <v>49</v>
      </c>
      <c r="F98" t="s">
        <v>91</v>
      </c>
      <c r="G98" t="s">
        <v>230</v>
      </c>
      <c r="H98" t="s">
        <v>256</v>
      </c>
      <c r="I98" t="s">
        <v>93</v>
      </c>
      <c r="J98" t="s">
        <v>103</v>
      </c>
      <c r="K98" t="s">
        <v>54</v>
      </c>
      <c r="L98">
        <v>2020</v>
      </c>
      <c r="M98">
        <v>2.25</v>
      </c>
      <c r="N98">
        <v>2</v>
      </c>
      <c r="O98">
        <v>0.25</v>
      </c>
      <c r="P98">
        <v>0.25</v>
      </c>
      <c r="Q98">
        <v>1.4</v>
      </c>
      <c r="R98">
        <v>4.75</v>
      </c>
      <c r="S98">
        <v>8</v>
      </c>
      <c r="T98">
        <v>1.42</v>
      </c>
      <c r="U98">
        <v>4.5</v>
      </c>
      <c r="V98">
        <v>8</v>
      </c>
      <c r="W98">
        <v>1.45</v>
      </c>
      <c r="X98">
        <v>4.55</v>
      </c>
      <c r="Y98">
        <v>7.4</v>
      </c>
      <c r="Z98">
        <v>1.43</v>
      </c>
      <c r="AA98">
        <v>4.5999999999999996</v>
      </c>
      <c r="AB98">
        <v>8.69</v>
      </c>
      <c r="AC98">
        <v>1.38</v>
      </c>
      <c r="AD98">
        <v>4.5999999999999996</v>
      </c>
      <c r="AE98">
        <v>9</v>
      </c>
      <c r="AF98">
        <v>1.44</v>
      </c>
      <c r="AG98">
        <v>4.5999999999999996</v>
      </c>
      <c r="AH98">
        <v>8</v>
      </c>
      <c r="AI98">
        <v>1.46</v>
      </c>
      <c r="AJ98">
        <v>4.9000000000000004</v>
      </c>
      <c r="AK98">
        <v>9.3000000000000007</v>
      </c>
      <c r="AL98">
        <v>1.43</v>
      </c>
      <c r="AM98">
        <v>4.6100000000000003</v>
      </c>
      <c r="AN98">
        <v>7.96</v>
      </c>
      <c r="AO98">
        <v>1</v>
      </c>
      <c r="AP98">
        <v>0.68730958342131399</v>
      </c>
      <c r="AQ98">
        <v>0.204790202407167</v>
      </c>
      <c r="AR98">
        <v>0.107900214171518</v>
      </c>
      <c r="AS98">
        <v>0.999999999999999</v>
      </c>
      <c r="AT98">
        <v>3.47199179511914E-3</v>
      </c>
      <c r="AU98">
        <v>0.60728310571898503</v>
      </c>
      <c r="AV98">
        <f t="shared" si="10"/>
        <v>1036.3212337358627</v>
      </c>
      <c r="AW98">
        <f t="shared" si="11"/>
        <v>712.27351544965859</v>
      </c>
      <c r="AX98">
        <f t="shared" si="12"/>
        <v>212.22843521561254</v>
      </c>
      <c r="AY98">
        <f t="shared" si="13"/>
        <v>111.81928307059154</v>
      </c>
      <c r="AZ98" cm="1">
        <f t="array" ref="AZ98">_xlfn.IFS(E98="H",AW98*AI98-AV98,E98="D",AX98*AJ98-AV98,E98="A",AY98*AK98-AV98)</f>
        <v>3.5980988206388247</v>
      </c>
      <c r="BA98">
        <f t="shared" si="14"/>
        <v>82.64411233744238</v>
      </c>
    </row>
    <row r="99" spans="1:53" x14ac:dyDescent="0.2">
      <c r="A99">
        <v>34</v>
      </c>
      <c r="B99" t="s">
        <v>67</v>
      </c>
      <c r="C99" s="1">
        <v>44017</v>
      </c>
      <c r="D99" t="s">
        <v>270</v>
      </c>
      <c r="E99" t="s">
        <v>57</v>
      </c>
      <c r="F99" t="s">
        <v>86</v>
      </c>
      <c r="G99" t="s">
        <v>162</v>
      </c>
      <c r="H99" t="s">
        <v>256</v>
      </c>
      <c r="I99" t="s">
        <v>88</v>
      </c>
      <c r="J99" t="s">
        <v>293</v>
      </c>
      <c r="K99" t="s">
        <v>54</v>
      </c>
      <c r="L99">
        <v>2020</v>
      </c>
      <c r="M99">
        <v>1.5</v>
      </c>
      <c r="N99">
        <v>0.75</v>
      </c>
      <c r="O99">
        <v>1</v>
      </c>
      <c r="P99">
        <v>0.75</v>
      </c>
      <c r="Q99">
        <v>3.1</v>
      </c>
      <c r="R99">
        <v>2.9</v>
      </c>
      <c r="S99">
        <v>2.5499999999999998</v>
      </c>
      <c r="T99">
        <v>3</v>
      </c>
      <c r="U99">
        <v>3</v>
      </c>
      <c r="V99">
        <v>2.6</v>
      </c>
      <c r="W99">
        <v>3.1</v>
      </c>
      <c r="X99">
        <v>2.95</v>
      </c>
      <c r="Y99">
        <v>2.6</v>
      </c>
      <c r="Z99">
        <v>3.11</v>
      </c>
      <c r="AA99">
        <v>3.07</v>
      </c>
      <c r="AB99">
        <v>2.59</v>
      </c>
      <c r="AC99">
        <v>2.9</v>
      </c>
      <c r="AD99">
        <v>3</v>
      </c>
      <c r="AE99">
        <v>2.7</v>
      </c>
      <c r="AF99">
        <v>3</v>
      </c>
      <c r="AG99">
        <v>3</v>
      </c>
      <c r="AH99">
        <v>2.5499999999999998</v>
      </c>
      <c r="AI99">
        <v>3.25</v>
      </c>
      <c r="AJ99">
        <v>3.14</v>
      </c>
      <c r="AK99">
        <v>2.71</v>
      </c>
      <c r="AL99">
        <v>3.06</v>
      </c>
      <c r="AM99">
        <v>2.98</v>
      </c>
      <c r="AN99">
        <v>2.58</v>
      </c>
      <c r="AO99">
        <v>1</v>
      </c>
      <c r="AP99">
        <v>0.30918650238537299</v>
      </c>
      <c r="AQ99">
        <v>0.32001787667275799</v>
      </c>
      <c r="AR99">
        <v>0.37079562094186802</v>
      </c>
      <c r="AS99">
        <v>1</v>
      </c>
      <c r="AT99">
        <v>4.8561327524625497E-3</v>
      </c>
      <c r="AU99">
        <v>0.61213923847144802</v>
      </c>
      <c r="AV99">
        <f t="shared" si="10"/>
        <v>1118.9653460733052</v>
      </c>
      <c r="AW99">
        <f t="shared" si="11"/>
        <v>345.96898164284386</v>
      </c>
      <c r="AX99">
        <f t="shared" si="12"/>
        <v>358.08891412077782</v>
      </c>
      <c r="AY99">
        <f t="shared" si="13"/>
        <v>414.9074503096835</v>
      </c>
      <c r="AZ99" cm="1">
        <f t="array" ref="AZ99">_xlfn.IFS(E99="H",AW99*AI99-AV99,E99="D",AX99*AJ99-AV99,E99="A",AY99*AK99-AV99)</f>
        <v>5.4338442659370685</v>
      </c>
      <c r="BA99">
        <f t="shared" si="14"/>
        <v>88.077956603379448</v>
      </c>
    </row>
    <row r="100" spans="1:53" x14ac:dyDescent="0.2">
      <c r="A100">
        <v>34</v>
      </c>
      <c r="B100" t="s">
        <v>67</v>
      </c>
      <c r="C100" s="1">
        <v>44017</v>
      </c>
      <c r="D100" t="s">
        <v>259</v>
      </c>
      <c r="E100" t="s">
        <v>74</v>
      </c>
      <c r="F100" t="s">
        <v>294</v>
      </c>
      <c r="G100" t="s">
        <v>87</v>
      </c>
      <c r="H100" t="s">
        <v>256</v>
      </c>
      <c r="I100" t="s">
        <v>295</v>
      </c>
      <c r="J100" t="s">
        <v>265</v>
      </c>
      <c r="K100" t="s">
        <v>54</v>
      </c>
      <c r="L100">
        <v>2020</v>
      </c>
      <c r="M100">
        <v>1.75</v>
      </c>
      <c r="N100">
        <v>1.5</v>
      </c>
      <c r="O100">
        <v>1.25</v>
      </c>
      <c r="P100">
        <v>1.5</v>
      </c>
      <c r="Q100">
        <v>4.33</v>
      </c>
      <c r="R100">
        <v>4</v>
      </c>
      <c r="S100">
        <v>1.72</v>
      </c>
      <c r="T100">
        <v>4.5</v>
      </c>
      <c r="U100">
        <v>4.0999999999999996</v>
      </c>
      <c r="V100">
        <v>1.7</v>
      </c>
      <c r="W100">
        <v>4.2</v>
      </c>
      <c r="X100">
        <v>3.95</v>
      </c>
      <c r="Y100">
        <v>1.77</v>
      </c>
      <c r="Z100">
        <v>4.33</v>
      </c>
      <c r="AA100">
        <v>3.97</v>
      </c>
      <c r="AB100">
        <v>1.81</v>
      </c>
      <c r="AC100">
        <v>4.4000000000000004</v>
      </c>
      <c r="AD100">
        <v>4</v>
      </c>
      <c r="AE100">
        <v>1.75</v>
      </c>
      <c r="AF100">
        <v>4.2</v>
      </c>
      <c r="AG100">
        <v>4</v>
      </c>
      <c r="AH100">
        <v>1.75</v>
      </c>
      <c r="AI100">
        <v>4.6500000000000004</v>
      </c>
      <c r="AJ100">
        <v>4.2</v>
      </c>
      <c r="AK100">
        <v>1.84</v>
      </c>
      <c r="AL100">
        <v>4.3099999999999996</v>
      </c>
      <c r="AM100">
        <v>3.98</v>
      </c>
      <c r="AN100">
        <v>1.77</v>
      </c>
      <c r="AO100">
        <v>1</v>
      </c>
      <c r="AP100">
        <v>0.21578153794605401</v>
      </c>
      <c r="AQ100">
        <v>0.23890098844027399</v>
      </c>
      <c r="AR100">
        <v>0.54531747361367</v>
      </c>
      <c r="AS100">
        <v>1</v>
      </c>
      <c r="AT100">
        <v>3.3841514491541598E-3</v>
      </c>
      <c r="AU100">
        <v>0.61552338992060196</v>
      </c>
      <c r="AV100">
        <f t="shared" si="10"/>
        <v>1207.0433026766846</v>
      </c>
      <c r="AW100">
        <f t="shared" si="11"/>
        <v>260.45766021906007</v>
      </c>
      <c r="AX100">
        <f t="shared" si="12"/>
        <v>288.36383809967367</v>
      </c>
      <c r="AY100">
        <f t="shared" si="13"/>
        <v>658.22180435795076</v>
      </c>
      <c r="AZ100" cm="1">
        <f t="array" ref="AZ100">_xlfn.IFS(E100="H",AW100*AI100-AV100,E100="D",AX100*AJ100-AV100,E100="A",AY100*AK100-AV100)</f>
        <v>4.0848173419449267</v>
      </c>
      <c r="BA100">
        <f t="shared" si="14"/>
        <v>92.162773945324375</v>
      </c>
    </row>
    <row r="101" spans="1:53" x14ac:dyDescent="0.2">
      <c r="A101">
        <v>33</v>
      </c>
      <c r="B101" t="s">
        <v>67</v>
      </c>
      <c r="C101" s="1">
        <v>44017</v>
      </c>
      <c r="D101" t="s">
        <v>296</v>
      </c>
      <c r="E101" t="s">
        <v>57</v>
      </c>
      <c r="F101" t="s">
        <v>248</v>
      </c>
      <c r="G101" t="s">
        <v>126</v>
      </c>
      <c r="H101" t="s">
        <v>256</v>
      </c>
      <c r="I101" t="s">
        <v>250</v>
      </c>
      <c r="J101" t="s">
        <v>297</v>
      </c>
      <c r="K101" t="s">
        <v>54</v>
      </c>
      <c r="L101">
        <v>2020</v>
      </c>
      <c r="M101">
        <v>1.5</v>
      </c>
      <c r="N101">
        <v>1</v>
      </c>
      <c r="O101">
        <v>0</v>
      </c>
      <c r="P101">
        <v>0.5</v>
      </c>
      <c r="Q101">
        <v>2.6</v>
      </c>
      <c r="R101">
        <v>3.3</v>
      </c>
      <c r="S101">
        <v>2.75</v>
      </c>
      <c r="T101">
        <v>2.65</v>
      </c>
      <c r="U101">
        <v>3.25</v>
      </c>
      <c r="V101">
        <v>2.75</v>
      </c>
      <c r="W101">
        <v>2.65</v>
      </c>
      <c r="X101">
        <v>3.25</v>
      </c>
      <c r="Y101">
        <v>2.7</v>
      </c>
      <c r="Z101">
        <v>2.72</v>
      </c>
      <c r="AA101">
        <v>3.31</v>
      </c>
      <c r="AB101">
        <v>2.77</v>
      </c>
      <c r="AC101">
        <v>2.62</v>
      </c>
      <c r="AD101">
        <v>3.3</v>
      </c>
      <c r="AE101">
        <v>2.7</v>
      </c>
      <c r="AF101">
        <v>2.63</v>
      </c>
      <c r="AG101">
        <v>3.25</v>
      </c>
      <c r="AH101">
        <v>2.75</v>
      </c>
      <c r="AI101">
        <v>2.77</v>
      </c>
      <c r="AJ101">
        <v>3.48</v>
      </c>
      <c r="AK101">
        <v>2.9</v>
      </c>
      <c r="AL101">
        <v>2.66</v>
      </c>
      <c r="AM101">
        <v>3.28</v>
      </c>
      <c r="AN101">
        <v>2.74</v>
      </c>
      <c r="AO101">
        <v>1</v>
      </c>
      <c r="AP101">
        <v>0.36348443701692001</v>
      </c>
      <c r="AQ101">
        <v>0.28932525590139901</v>
      </c>
      <c r="AR101">
        <v>0.34719030708167897</v>
      </c>
      <c r="AS101">
        <v>1</v>
      </c>
      <c r="AT101">
        <v>6.8518905368706298E-3</v>
      </c>
      <c r="AU101">
        <v>0.62237528045747303</v>
      </c>
      <c r="AV101">
        <f t="shared" si="10"/>
        <v>1299.2060766220088</v>
      </c>
      <c r="AW101">
        <f t="shared" si="11"/>
        <v>472.24118932991337</v>
      </c>
      <c r="AX101">
        <f t="shared" si="12"/>
        <v>375.89313058731608</v>
      </c>
      <c r="AY101">
        <f t="shared" si="13"/>
        <v>451.07175670477943</v>
      </c>
      <c r="AZ101" cm="1">
        <f t="array" ref="AZ101">_xlfn.IFS(E101="H",AW101*AI101-AV101,E101="D",AX101*AJ101-AV101,E101="A",AY101*AK101-AV101)</f>
        <v>8.9020178218511319</v>
      </c>
      <c r="BA101">
        <f t="shared" si="14"/>
        <v>101.06479176717551</v>
      </c>
    </row>
    <row r="102" spans="1:53" x14ac:dyDescent="0.2">
      <c r="A102">
        <v>31</v>
      </c>
      <c r="B102" t="s">
        <v>202</v>
      </c>
      <c r="C102" s="1">
        <v>44020</v>
      </c>
      <c r="D102" t="s">
        <v>273</v>
      </c>
      <c r="E102" t="s">
        <v>49</v>
      </c>
      <c r="F102" t="s">
        <v>195</v>
      </c>
      <c r="G102" t="s">
        <v>278</v>
      </c>
      <c r="H102" t="s">
        <v>256</v>
      </c>
      <c r="I102" t="s">
        <v>207</v>
      </c>
      <c r="J102" t="s">
        <v>298</v>
      </c>
      <c r="K102" t="s">
        <v>54</v>
      </c>
      <c r="L102">
        <v>2020</v>
      </c>
      <c r="M102">
        <v>3</v>
      </c>
      <c r="N102">
        <v>2.75</v>
      </c>
      <c r="O102">
        <v>1.5</v>
      </c>
      <c r="P102">
        <v>1.75</v>
      </c>
      <c r="Q102">
        <v>1.36</v>
      </c>
      <c r="R102">
        <v>5.25</v>
      </c>
      <c r="S102">
        <v>8</v>
      </c>
      <c r="T102">
        <v>1.36</v>
      </c>
      <c r="U102">
        <v>5.5</v>
      </c>
      <c r="V102">
        <v>7.75</v>
      </c>
      <c r="W102">
        <v>1.36</v>
      </c>
      <c r="X102">
        <v>5.5</v>
      </c>
      <c r="Y102">
        <v>7.4</v>
      </c>
      <c r="Z102">
        <v>1.36</v>
      </c>
      <c r="AA102">
        <v>5.78</v>
      </c>
      <c r="AB102">
        <v>7.93</v>
      </c>
      <c r="AC102">
        <v>1.33</v>
      </c>
      <c r="AD102">
        <v>5.5</v>
      </c>
      <c r="AE102">
        <v>8.5</v>
      </c>
      <c r="AF102">
        <v>1.33</v>
      </c>
      <c r="AG102">
        <v>5.5</v>
      </c>
      <c r="AH102">
        <v>9</v>
      </c>
      <c r="AI102">
        <v>1.39</v>
      </c>
      <c r="AJ102">
        <v>5.78</v>
      </c>
      <c r="AK102">
        <v>9.4</v>
      </c>
      <c r="AL102">
        <v>1.36</v>
      </c>
      <c r="AM102">
        <v>5.44</v>
      </c>
      <c r="AN102">
        <v>7.83</v>
      </c>
      <c r="AO102">
        <v>1</v>
      </c>
      <c r="AP102">
        <v>0.72027595642179298</v>
      </c>
      <c r="AQ102">
        <v>0.17321515214987701</v>
      </c>
      <c r="AR102">
        <v>0.10650889142832901</v>
      </c>
      <c r="AS102">
        <v>0.999999999999999</v>
      </c>
      <c r="AT102">
        <v>1.18357942629265E-3</v>
      </c>
      <c r="AU102">
        <v>0.62355885988376503</v>
      </c>
      <c r="AV102">
        <f t="shared" si="10"/>
        <v>1400.2708683891842</v>
      </c>
      <c r="AW102">
        <f t="shared" si="11"/>
        <v>1008.5814389785947</v>
      </c>
      <c r="AX102">
        <f t="shared" si="12"/>
        <v>242.54813151907376</v>
      </c>
      <c r="AY102">
        <f t="shared" si="13"/>
        <v>149.14129789151559</v>
      </c>
      <c r="AZ102" cm="1">
        <f t="array" ref="AZ102">_xlfn.IFS(E102="H",AW102*AI102-AV102,E102="D",AX102*AJ102-AV102,E102="A",AY102*AK102-AV102)</f>
        <v>1.657331791062461</v>
      </c>
      <c r="BA102">
        <f t="shared" si="14"/>
        <v>102.72212355823797</v>
      </c>
    </row>
    <row r="103" spans="1:53" x14ac:dyDescent="0.2">
      <c r="A103">
        <v>31</v>
      </c>
      <c r="B103" t="s">
        <v>202</v>
      </c>
      <c r="C103" s="1">
        <v>44020</v>
      </c>
      <c r="D103" t="s">
        <v>273</v>
      </c>
      <c r="E103" t="s">
        <v>49</v>
      </c>
      <c r="F103" t="s">
        <v>108</v>
      </c>
      <c r="G103" t="s">
        <v>187</v>
      </c>
      <c r="H103" t="s">
        <v>256</v>
      </c>
      <c r="I103" t="s">
        <v>110</v>
      </c>
      <c r="J103" t="s">
        <v>189</v>
      </c>
      <c r="K103" t="s">
        <v>54</v>
      </c>
      <c r="L103">
        <v>2020</v>
      </c>
      <c r="M103">
        <v>1.5</v>
      </c>
      <c r="N103">
        <v>2</v>
      </c>
      <c r="O103">
        <v>1.75</v>
      </c>
      <c r="P103">
        <v>2</v>
      </c>
      <c r="Q103">
        <v>1.5</v>
      </c>
      <c r="R103">
        <v>4.5</v>
      </c>
      <c r="S103">
        <v>6</v>
      </c>
      <c r="T103">
        <v>1.5</v>
      </c>
      <c r="U103">
        <v>4.4000000000000004</v>
      </c>
      <c r="V103">
        <v>6.25</v>
      </c>
      <c r="W103">
        <v>1.5</v>
      </c>
      <c r="X103">
        <v>4.4000000000000004</v>
      </c>
      <c r="Y103">
        <v>6.2</v>
      </c>
      <c r="Z103">
        <v>1.53</v>
      </c>
      <c r="AA103">
        <v>4.3099999999999996</v>
      </c>
      <c r="AB103">
        <v>6.59</v>
      </c>
      <c r="AC103">
        <v>1.5</v>
      </c>
      <c r="AD103">
        <v>4.33</v>
      </c>
      <c r="AE103">
        <v>6.5</v>
      </c>
      <c r="AF103">
        <v>1.5</v>
      </c>
      <c r="AG103">
        <v>4.33</v>
      </c>
      <c r="AH103">
        <v>7</v>
      </c>
      <c r="AI103">
        <v>1.57</v>
      </c>
      <c r="AJ103">
        <v>4.74</v>
      </c>
      <c r="AK103">
        <v>7</v>
      </c>
      <c r="AL103">
        <v>1.51</v>
      </c>
      <c r="AM103">
        <v>4.38</v>
      </c>
      <c r="AN103">
        <v>6.29</v>
      </c>
      <c r="AO103">
        <v>1</v>
      </c>
      <c r="AP103">
        <v>0.64287624147966105</v>
      </c>
      <c r="AQ103">
        <v>0.21293580150275701</v>
      </c>
      <c r="AR103">
        <v>0.144187957017581</v>
      </c>
      <c r="AS103">
        <v>1</v>
      </c>
      <c r="AT103">
        <v>9.3156991230687308E-3</v>
      </c>
      <c r="AU103">
        <v>0.63287455900683398</v>
      </c>
      <c r="AV103">
        <f t="shared" si="10"/>
        <v>1502.9929919474221</v>
      </c>
      <c r="AW103">
        <f t="shared" si="11"/>
        <v>966.23848563343006</v>
      </c>
      <c r="AX103">
        <f t="shared" si="12"/>
        <v>320.0410173933513</v>
      </c>
      <c r="AY103">
        <f t="shared" si="13"/>
        <v>216.71348892064074</v>
      </c>
      <c r="AZ103" cm="1">
        <f t="array" ref="AZ103">_xlfn.IFS(E103="H",AW103*AI103-AV103,E103="D",AX103*AJ103-AV103,E103="A",AY103*AK103-AV103)</f>
        <v>14.001430497063211</v>
      </c>
      <c r="BA103">
        <f t="shared" si="14"/>
        <v>116.72355405530118</v>
      </c>
    </row>
    <row r="104" spans="1:53" x14ac:dyDescent="0.2">
      <c r="A104">
        <v>31</v>
      </c>
      <c r="B104" t="s">
        <v>202</v>
      </c>
      <c r="C104" s="1">
        <v>44020</v>
      </c>
      <c r="D104" t="s">
        <v>273</v>
      </c>
      <c r="E104" t="s">
        <v>74</v>
      </c>
      <c r="F104" t="s">
        <v>241</v>
      </c>
      <c r="G104" t="s">
        <v>109</v>
      </c>
      <c r="H104" t="s">
        <v>256</v>
      </c>
      <c r="I104" t="s">
        <v>242</v>
      </c>
      <c r="J104" t="s">
        <v>299</v>
      </c>
      <c r="K104" t="s">
        <v>54</v>
      </c>
      <c r="L104">
        <v>2020</v>
      </c>
      <c r="M104">
        <v>0.5</v>
      </c>
      <c r="N104">
        <v>0.5</v>
      </c>
      <c r="O104">
        <v>1.75</v>
      </c>
      <c r="P104">
        <v>2.25</v>
      </c>
      <c r="Q104">
        <v>2.25</v>
      </c>
      <c r="R104">
        <v>3.5</v>
      </c>
      <c r="S104">
        <v>3</v>
      </c>
      <c r="T104">
        <v>2.2999999999999998</v>
      </c>
      <c r="U104">
        <v>3.5</v>
      </c>
      <c r="V104">
        <v>3</v>
      </c>
      <c r="W104">
        <v>2.25</v>
      </c>
      <c r="X104">
        <v>3.65</v>
      </c>
      <c r="Y104">
        <v>3</v>
      </c>
      <c r="Z104">
        <v>2.3199999999999998</v>
      </c>
      <c r="AA104">
        <v>3.65</v>
      </c>
      <c r="AB104">
        <v>3.05</v>
      </c>
      <c r="AC104">
        <v>2.25</v>
      </c>
      <c r="AD104">
        <v>3.6</v>
      </c>
      <c r="AE104">
        <v>3.1</v>
      </c>
      <c r="AF104">
        <v>2.25</v>
      </c>
      <c r="AG104">
        <v>3.6</v>
      </c>
      <c r="AH104">
        <v>3.1</v>
      </c>
      <c r="AI104">
        <v>2.34</v>
      </c>
      <c r="AJ104">
        <v>3.85</v>
      </c>
      <c r="AK104">
        <v>3.25</v>
      </c>
      <c r="AL104">
        <v>2.2599999999999998</v>
      </c>
      <c r="AM104">
        <v>3.58</v>
      </c>
      <c r="AN104">
        <v>3.04</v>
      </c>
      <c r="AO104">
        <v>1</v>
      </c>
      <c r="AP104">
        <v>0.42959160901584398</v>
      </c>
      <c r="AQ104">
        <v>0.26110243249274701</v>
      </c>
      <c r="AR104">
        <v>0.30930595849140802</v>
      </c>
      <c r="AS104">
        <v>1</v>
      </c>
      <c r="AT104">
        <v>5.2443650970763703E-3</v>
      </c>
      <c r="AU104">
        <v>0.63811892410391002</v>
      </c>
      <c r="AV104">
        <f t="shared" si="10"/>
        <v>1619.7165460027231</v>
      </c>
      <c r="AW104">
        <f t="shared" si="11"/>
        <v>695.81663714689614</v>
      </c>
      <c r="AX104">
        <f t="shared" si="12"/>
        <v>422.91193011006152</v>
      </c>
      <c r="AY104">
        <f t="shared" si="13"/>
        <v>500.98797874576525</v>
      </c>
      <c r="AZ104" cm="1">
        <f t="array" ref="AZ104">_xlfn.IFS(E104="H",AW104*AI104-AV104,E104="D",AX104*AJ104-AV104,E104="A",AY104*AK104-AV104)</f>
        <v>8.4943849210139888</v>
      </c>
      <c r="BA104">
        <f t="shared" si="14"/>
        <v>125.21793897631517</v>
      </c>
    </row>
    <row r="105" spans="1:53" x14ac:dyDescent="0.2">
      <c r="A105">
        <v>35</v>
      </c>
      <c r="B105" t="s">
        <v>202</v>
      </c>
      <c r="C105" s="1">
        <v>44020</v>
      </c>
      <c r="D105" t="s">
        <v>259</v>
      </c>
      <c r="E105" t="s">
        <v>49</v>
      </c>
      <c r="F105" t="s">
        <v>87</v>
      </c>
      <c r="G105" t="s">
        <v>114</v>
      </c>
      <c r="H105" t="s">
        <v>256</v>
      </c>
      <c r="I105" t="s">
        <v>167</v>
      </c>
      <c r="J105" t="s">
        <v>300</v>
      </c>
      <c r="K105" t="s">
        <v>54</v>
      </c>
      <c r="L105">
        <v>2020</v>
      </c>
      <c r="M105">
        <v>2.5</v>
      </c>
      <c r="N105">
        <v>1.5</v>
      </c>
      <c r="O105">
        <v>0.25</v>
      </c>
      <c r="P105">
        <v>0.25</v>
      </c>
      <c r="Q105">
        <v>1.1399999999999999</v>
      </c>
      <c r="R105">
        <v>8</v>
      </c>
      <c r="S105">
        <v>19</v>
      </c>
      <c r="T105">
        <v>1.1499999999999999</v>
      </c>
      <c r="U105">
        <v>8</v>
      </c>
      <c r="V105">
        <v>18.5</v>
      </c>
      <c r="W105">
        <v>1.1499999999999999</v>
      </c>
      <c r="X105">
        <v>7.8</v>
      </c>
      <c r="Y105">
        <v>18.5</v>
      </c>
      <c r="Z105">
        <v>1.1399999999999999</v>
      </c>
      <c r="AA105">
        <v>8.5500000000000007</v>
      </c>
      <c r="AB105">
        <v>22.52</v>
      </c>
      <c r="AC105">
        <v>1.1100000000000001</v>
      </c>
      <c r="AD105">
        <v>9</v>
      </c>
      <c r="AE105">
        <v>26</v>
      </c>
      <c r="AF105">
        <v>1.1200000000000001</v>
      </c>
      <c r="AG105">
        <v>9</v>
      </c>
      <c r="AH105">
        <v>21</v>
      </c>
      <c r="AI105">
        <v>1.1599999999999999</v>
      </c>
      <c r="AJ105">
        <v>10.25</v>
      </c>
      <c r="AK105">
        <v>31</v>
      </c>
      <c r="AL105">
        <v>1.1399999999999999</v>
      </c>
      <c r="AM105">
        <v>8.41</v>
      </c>
      <c r="AN105">
        <v>20.7</v>
      </c>
      <c r="AO105">
        <v>1</v>
      </c>
      <c r="AP105">
        <v>0.86911925601750495</v>
      </c>
      <c r="AQ105">
        <v>9.8358862144420106E-2</v>
      </c>
      <c r="AR105">
        <v>3.2521881838074397E-2</v>
      </c>
      <c r="AS105">
        <v>0.999999999999999</v>
      </c>
      <c r="AT105">
        <v>8.1783369803061206E-3</v>
      </c>
      <c r="AU105">
        <v>0.64629726108421703</v>
      </c>
      <c r="AV105">
        <f t="shared" si="10"/>
        <v>1744.9344849790382</v>
      </c>
      <c r="AW105">
        <f t="shared" si="11"/>
        <v>1516.5561613842706</v>
      </c>
      <c r="AX105">
        <f t="shared" si="12"/>
        <v>171.62977045909795</v>
      </c>
      <c r="AY105">
        <f t="shared" si="13"/>
        <v>56.748553135669482</v>
      </c>
      <c r="AZ105" cm="1">
        <f t="array" ref="AZ105">_xlfn.IFS(E105="H",AW105*AI105-AV105,E105="D",AX105*AJ105-AV105,E105="A",AY105*AK105-AV105)</f>
        <v>14.270662226715558</v>
      </c>
      <c r="BA105">
        <f t="shared" si="14"/>
        <v>139.48860120303073</v>
      </c>
    </row>
    <row r="106" spans="1:53" x14ac:dyDescent="0.2">
      <c r="A106">
        <v>34</v>
      </c>
      <c r="B106" t="s">
        <v>202</v>
      </c>
      <c r="C106" s="1">
        <v>44020</v>
      </c>
      <c r="D106" t="s">
        <v>234</v>
      </c>
      <c r="E106" t="s">
        <v>74</v>
      </c>
      <c r="F106" t="s">
        <v>284</v>
      </c>
      <c r="G106" t="s">
        <v>210</v>
      </c>
      <c r="H106" t="s">
        <v>256</v>
      </c>
      <c r="I106" t="s">
        <v>285</v>
      </c>
      <c r="J106" t="s">
        <v>297</v>
      </c>
      <c r="K106" t="s">
        <v>54</v>
      </c>
      <c r="L106">
        <v>2020</v>
      </c>
      <c r="M106">
        <v>1</v>
      </c>
      <c r="N106">
        <v>0.75</v>
      </c>
      <c r="O106">
        <v>1</v>
      </c>
      <c r="P106">
        <v>0.25</v>
      </c>
      <c r="Q106">
        <v>6</v>
      </c>
      <c r="R106">
        <v>4.33</v>
      </c>
      <c r="S106">
        <v>1.53</v>
      </c>
      <c r="T106">
        <v>5.75</v>
      </c>
      <c r="U106">
        <v>4.33</v>
      </c>
      <c r="V106">
        <v>1.55</v>
      </c>
      <c r="W106">
        <v>5.9</v>
      </c>
      <c r="X106">
        <v>4.2</v>
      </c>
      <c r="Y106">
        <v>1.55</v>
      </c>
      <c r="Z106">
        <v>6.08</v>
      </c>
      <c r="AA106">
        <v>4.3</v>
      </c>
      <c r="AB106">
        <v>1.58</v>
      </c>
      <c r="AC106">
        <v>6</v>
      </c>
      <c r="AD106">
        <v>4.2</v>
      </c>
      <c r="AE106">
        <v>1.55</v>
      </c>
      <c r="AF106">
        <v>6.5</v>
      </c>
      <c r="AG106">
        <v>4.2</v>
      </c>
      <c r="AH106">
        <v>1.55</v>
      </c>
      <c r="AI106">
        <v>6.5</v>
      </c>
      <c r="AJ106">
        <v>4.45</v>
      </c>
      <c r="AK106">
        <v>1.62</v>
      </c>
      <c r="AL106">
        <v>5.99</v>
      </c>
      <c r="AM106">
        <v>4.26</v>
      </c>
      <c r="AN106">
        <v>1.56</v>
      </c>
      <c r="AO106">
        <v>1</v>
      </c>
      <c r="AP106">
        <v>0.154487399279958</v>
      </c>
      <c r="AQ106">
        <v>0.22565575175724301</v>
      </c>
      <c r="AR106">
        <v>0.61985684896279702</v>
      </c>
      <c r="AS106">
        <v>1</v>
      </c>
      <c r="AT106">
        <v>4.1680953197327196E-3</v>
      </c>
      <c r="AU106">
        <v>0.65046535640394898</v>
      </c>
      <c r="AV106">
        <f t="shared" si="10"/>
        <v>1884.4230861820688</v>
      </c>
      <c r="AW106">
        <f t="shared" si="11"/>
        <v>291.11962172738157</v>
      </c>
      <c r="AX106">
        <f t="shared" si="12"/>
        <v>425.23090814111919</v>
      </c>
      <c r="AY106">
        <f t="shared" si="13"/>
        <v>1168.0725563135682</v>
      </c>
      <c r="AZ106" cm="1">
        <f t="array" ref="AZ106">_xlfn.IFS(E106="H",AW106*AI106-AV106,E106="D",AX106*AJ106-AV106,E106="A",AY106*AK106-AV106)</f>
        <v>7.8544550459116635</v>
      </c>
      <c r="BA106">
        <f t="shared" si="14"/>
        <v>147.34305624894239</v>
      </c>
    </row>
    <row r="107" spans="1:53" x14ac:dyDescent="0.2">
      <c r="A107">
        <v>34</v>
      </c>
      <c r="B107" t="s">
        <v>229</v>
      </c>
      <c r="C107" s="1">
        <v>44021</v>
      </c>
      <c r="D107" t="s">
        <v>254</v>
      </c>
      <c r="E107" t="s">
        <v>57</v>
      </c>
      <c r="F107" t="s">
        <v>252</v>
      </c>
      <c r="G107" t="s">
        <v>152</v>
      </c>
      <c r="H107" t="s">
        <v>256</v>
      </c>
      <c r="I107" t="s">
        <v>253</v>
      </c>
      <c r="J107" t="s">
        <v>301</v>
      </c>
      <c r="K107" t="s">
        <v>54</v>
      </c>
      <c r="L107">
        <v>2020</v>
      </c>
      <c r="M107">
        <v>2</v>
      </c>
      <c r="N107">
        <v>1.5</v>
      </c>
      <c r="O107">
        <v>1.5</v>
      </c>
      <c r="P107">
        <v>1.75</v>
      </c>
      <c r="Q107">
        <v>2.0499999999999998</v>
      </c>
      <c r="R107">
        <v>3.5</v>
      </c>
      <c r="S107">
        <v>3.6</v>
      </c>
      <c r="T107">
        <v>2</v>
      </c>
      <c r="U107">
        <v>3.5</v>
      </c>
      <c r="V107">
        <v>3.75</v>
      </c>
      <c r="W107">
        <v>2.0499999999999998</v>
      </c>
      <c r="X107">
        <v>3.45</v>
      </c>
      <c r="Y107">
        <v>3.6</v>
      </c>
      <c r="Z107">
        <v>2.11</v>
      </c>
      <c r="AA107">
        <v>3.57</v>
      </c>
      <c r="AB107">
        <v>3.61</v>
      </c>
      <c r="AC107">
        <v>2.0499999999999998</v>
      </c>
      <c r="AD107">
        <v>3.5</v>
      </c>
      <c r="AE107">
        <v>3.6</v>
      </c>
      <c r="AF107">
        <v>2.0499999999999998</v>
      </c>
      <c r="AG107">
        <v>3.5</v>
      </c>
      <c r="AH107">
        <v>3.6</v>
      </c>
      <c r="AI107">
        <v>2.15</v>
      </c>
      <c r="AJ107">
        <v>3.65</v>
      </c>
      <c r="AK107">
        <v>3.86</v>
      </c>
      <c r="AL107">
        <v>2.0699999999999998</v>
      </c>
      <c r="AM107">
        <v>3.51</v>
      </c>
      <c r="AN107">
        <v>3.62</v>
      </c>
      <c r="AO107">
        <v>1</v>
      </c>
      <c r="AP107">
        <v>0.46597542623736898</v>
      </c>
      <c r="AQ107">
        <v>0.27447867572886098</v>
      </c>
      <c r="AR107">
        <v>0.25954589803376799</v>
      </c>
      <c r="AS107">
        <v>0.999999999999999</v>
      </c>
      <c r="AT107">
        <v>1.8471664103454301E-3</v>
      </c>
      <c r="AU107">
        <v>0.65231252281429497</v>
      </c>
      <c r="AV107">
        <f t="shared" si="10"/>
        <v>2031.7661424310113</v>
      </c>
      <c r="AW107">
        <f t="shared" si="11"/>
        <v>946.75309423394731</v>
      </c>
      <c r="AX107">
        <f t="shared" si="12"/>
        <v>557.67648016520195</v>
      </c>
      <c r="AY107">
        <f t="shared" si="13"/>
        <v>527.33656803186182</v>
      </c>
      <c r="AZ107" cm="1">
        <f t="array" ref="AZ107">_xlfn.IFS(E107="H",AW107*AI107-AV107,E107="D",AX107*AJ107-AV107,E107="A",AY107*AK107-AV107)</f>
        <v>3.7530101719758022</v>
      </c>
      <c r="BA107">
        <f t="shared" si="14"/>
        <v>151.09606642091819</v>
      </c>
    </row>
    <row r="108" spans="1:53" x14ac:dyDescent="0.2">
      <c r="A108">
        <v>35</v>
      </c>
      <c r="B108" t="s">
        <v>47</v>
      </c>
      <c r="C108" s="1">
        <v>44022</v>
      </c>
      <c r="D108" t="s">
        <v>259</v>
      </c>
      <c r="E108" t="s">
        <v>49</v>
      </c>
      <c r="F108" t="s">
        <v>271</v>
      </c>
      <c r="G108" t="s">
        <v>286</v>
      </c>
      <c r="H108" t="s">
        <v>256</v>
      </c>
      <c r="I108" t="s">
        <v>289</v>
      </c>
      <c r="J108" t="s">
        <v>302</v>
      </c>
      <c r="K108" t="s">
        <v>54</v>
      </c>
      <c r="L108">
        <v>2020</v>
      </c>
      <c r="M108">
        <v>3</v>
      </c>
      <c r="N108">
        <v>2.25</v>
      </c>
      <c r="O108">
        <v>0</v>
      </c>
      <c r="P108">
        <v>0.25</v>
      </c>
      <c r="Q108">
        <v>1.2</v>
      </c>
      <c r="R108">
        <v>6.5</v>
      </c>
      <c r="S108">
        <v>13</v>
      </c>
      <c r="T108">
        <v>1.2</v>
      </c>
      <c r="U108">
        <v>7</v>
      </c>
      <c r="V108">
        <v>13.5</v>
      </c>
      <c r="W108">
        <v>1.25</v>
      </c>
      <c r="X108">
        <v>5.9</v>
      </c>
      <c r="Y108">
        <v>12</v>
      </c>
      <c r="Z108">
        <v>1.22</v>
      </c>
      <c r="AA108">
        <v>6.41</v>
      </c>
      <c r="AB108">
        <v>14.81</v>
      </c>
      <c r="AC108">
        <v>1.22</v>
      </c>
      <c r="AD108">
        <v>6</v>
      </c>
      <c r="AE108">
        <v>15</v>
      </c>
      <c r="AF108">
        <v>1.22</v>
      </c>
      <c r="AG108">
        <v>6</v>
      </c>
      <c r="AH108">
        <v>13</v>
      </c>
      <c r="AI108">
        <v>1.26</v>
      </c>
      <c r="AJ108">
        <v>7</v>
      </c>
      <c r="AK108">
        <v>16.75</v>
      </c>
      <c r="AL108">
        <v>1.22</v>
      </c>
      <c r="AM108">
        <v>6.33</v>
      </c>
      <c r="AN108">
        <v>13.66</v>
      </c>
      <c r="AO108">
        <v>1</v>
      </c>
      <c r="AP108">
        <v>0.79667063020214002</v>
      </c>
      <c r="AQ108">
        <v>0.143400713436385</v>
      </c>
      <c r="AR108">
        <v>5.9928656361474403E-2</v>
      </c>
      <c r="AS108">
        <v>1</v>
      </c>
      <c r="AT108">
        <v>3.8049940546969101E-3</v>
      </c>
      <c r="AU108">
        <v>0.656117516868992</v>
      </c>
      <c r="AV108">
        <f t="shared" si="10"/>
        <v>2182.8622088519296</v>
      </c>
      <c r="AW108">
        <f t="shared" si="11"/>
        <v>1739.0222115705028</v>
      </c>
      <c r="AX108">
        <f t="shared" si="12"/>
        <v>313.02399808269047</v>
      </c>
      <c r="AY108">
        <f t="shared" si="13"/>
        <v>130.81599919873634</v>
      </c>
      <c r="AZ108" cm="1">
        <f t="array" ref="AZ108">_xlfn.IFS(E108="H",AW108*AI108-AV108,E108="D",AX108*AJ108-AV108,E108="A",AY108*AK108-AV108)</f>
        <v>8.3057777269041253</v>
      </c>
      <c r="BA108">
        <f t="shared" si="14"/>
        <v>159.40184414782232</v>
      </c>
    </row>
    <row r="109" spans="1:53" x14ac:dyDescent="0.2">
      <c r="A109">
        <v>35</v>
      </c>
      <c r="B109" t="s">
        <v>55</v>
      </c>
      <c r="C109" s="1">
        <v>44023</v>
      </c>
      <c r="D109" t="s">
        <v>99</v>
      </c>
      <c r="E109" t="s">
        <v>49</v>
      </c>
      <c r="F109" t="s">
        <v>92</v>
      </c>
      <c r="G109" t="s">
        <v>91</v>
      </c>
      <c r="H109" t="s">
        <v>256</v>
      </c>
      <c r="I109" t="s">
        <v>231</v>
      </c>
      <c r="J109" t="s">
        <v>155</v>
      </c>
      <c r="K109" t="s">
        <v>54</v>
      </c>
      <c r="L109">
        <v>2020</v>
      </c>
      <c r="M109">
        <v>2.5</v>
      </c>
      <c r="N109">
        <v>1.5</v>
      </c>
      <c r="O109">
        <v>1.75</v>
      </c>
      <c r="P109">
        <v>2.25</v>
      </c>
      <c r="Q109">
        <v>6</v>
      </c>
      <c r="R109">
        <v>3.8</v>
      </c>
      <c r="S109">
        <v>1.6</v>
      </c>
      <c r="T109">
        <v>6</v>
      </c>
      <c r="U109">
        <v>3.75</v>
      </c>
      <c r="V109">
        <v>1.62</v>
      </c>
      <c r="W109">
        <v>5.8</v>
      </c>
      <c r="X109">
        <v>3.9</v>
      </c>
      <c r="Y109">
        <v>1.6</v>
      </c>
      <c r="Z109">
        <v>6.14</v>
      </c>
      <c r="AA109">
        <v>3.95</v>
      </c>
      <c r="AB109">
        <v>1.63</v>
      </c>
      <c r="AC109">
        <v>6.5</v>
      </c>
      <c r="AD109">
        <v>3.9</v>
      </c>
      <c r="AE109">
        <v>1.57</v>
      </c>
      <c r="AF109">
        <v>6.5</v>
      </c>
      <c r="AG109">
        <v>3.9</v>
      </c>
      <c r="AH109">
        <v>1.6</v>
      </c>
      <c r="AI109">
        <v>6.8</v>
      </c>
      <c r="AJ109">
        <v>4.1500000000000004</v>
      </c>
      <c r="AK109">
        <v>1.65</v>
      </c>
      <c r="AL109">
        <v>6.07</v>
      </c>
      <c r="AM109">
        <v>3.93</v>
      </c>
      <c r="AN109">
        <v>1.6</v>
      </c>
      <c r="AO109">
        <v>1</v>
      </c>
      <c r="AP109">
        <v>0.14793410748042099</v>
      </c>
      <c r="AQ109">
        <v>0.24239805563056899</v>
      </c>
      <c r="AR109">
        <v>0.60966783688900805</v>
      </c>
      <c r="AS109">
        <v>0.999999999999999</v>
      </c>
      <c r="AT109">
        <v>5.95193086686474E-3</v>
      </c>
      <c r="AU109">
        <v>0.66206944773585596</v>
      </c>
      <c r="AV109">
        <f t="shared" si="10"/>
        <v>2342.264052999752</v>
      </c>
      <c r="AW109">
        <f t="shared" si="11"/>
        <v>346.50074216399247</v>
      </c>
      <c r="AX109">
        <f t="shared" si="12"/>
        <v>567.76025222051771</v>
      </c>
      <c r="AY109">
        <f t="shared" si="13"/>
        <v>1428.0030586152416</v>
      </c>
      <c r="AZ109" cm="1">
        <f t="array" ref="AZ109">_xlfn.IFS(E109="H",AW109*AI109-AV109,E109="D",AX109*AJ109-AV109,E109="A",AY109*AK109-AV109)</f>
        <v>13.940993715396871</v>
      </c>
      <c r="BA109">
        <f t="shared" si="14"/>
        <v>173.34283786321919</v>
      </c>
    </row>
    <row r="110" spans="1:53" x14ac:dyDescent="0.2">
      <c r="A110">
        <v>35</v>
      </c>
      <c r="B110" t="s">
        <v>55</v>
      </c>
      <c r="C110" s="1">
        <v>44023</v>
      </c>
      <c r="D110" t="s">
        <v>151</v>
      </c>
      <c r="E110" t="s">
        <v>74</v>
      </c>
      <c r="F110" t="s">
        <v>284</v>
      </c>
      <c r="G110" t="s">
        <v>101</v>
      </c>
      <c r="H110" t="s">
        <v>256</v>
      </c>
      <c r="I110" t="s">
        <v>285</v>
      </c>
      <c r="J110" t="s">
        <v>280</v>
      </c>
      <c r="K110" t="s">
        <v>54</v>
      </c>
      <c r="L110">
        <v>2020</v>
      </c>
      <c r="M110">
        <v>0.75</v>
      </c>
      <c r="N110">
        <v>0.75</v>
      </c>
      <c r="O110">
        <v>0.75</v>
      </c>
      <c r="P110">
        <v>0.5</v>
      </c>
      <c r="Q110">
        <v>10</v>
      </c>
      <c r="R110">
        <v>5.5</v>
      </c>
      <c r="S110">
        <v>1.28</v>
      </c>
      <c r="T110">
        <v>10</v>
      </c>
      <c r="U110">
        <v>5.5</v>
      </c>
      <c r="V110">
        <v>1.3</v>
      </c>
      <c r="W110">
        <v>9.6</v>
      </c>
      <c r="X110">
        <v>5.6</v>
      </c>
      <c r="Y110">
        <v>1.3</v>
      </c>
      <c r="Z110">
        <v>10.19</v>
      </c>
      <c r="AA110">
        <v>5.83</v>
      </c>
      <c r="AB110">
        <v>1.31</v>
      </c>
      <c r="AC110">
        <v>11</v>
      </c>
      <c r="AD110">
        <v>5.5</v>
      </c>
      <c r="AE110">
        <v>1.29</v>
      </c>
      <c r="AF110">
        <v>12</v>
      </c>
      <c r="AG110">
        <v>5.5</v>
      </c>
      <c r="AH110">
        <v>1.29</v>
      </c>
      <c r="AI110">
        <v>12</v>
      </c>
      <c r="AJ110">
        <v>6.05</v>
      </c>
      <c r="AK110">
        <v>1.35</v>
      </c>
      <c r="AL110">
        <v>9.9499999999999993</v>
      </c>
      <c r="AM110">
        <v>5.62</v>
      </c>
      <c r="AN110">
        <v>1.31</v>
      </c>
      <c r="AO110">
        <v>1</v>
      </c>
      <c r="AP110">
        <v>8.4229252068992094E-2</v>
      </c>
      <c r="AQ110">
        <v>0.16706628509552099</v>
      </c>
      <c r="AR110">
        <v>0.74870446283548597</v>
      </c>
      <c r="AS110">
        <v>0.999999999999999</v>
      </c>
      <c r="AT110">
        <v>1.0751024827906099E-2</v>
      </c>
      <c r="AU110">
        <v>0.67282047256376298</v>
      </c>
      <c r="AV110">
        <f t="shared" si="10"/>
        <v>2515.6068908629713</v>
      </c>
      <c r="AW110">
        <f t="shared" si="11"/>
        <v>211.88768691699096</v>
      </c>
      <c r="AX110">
        <f t="shared" si="12"/>
        <v>420.27309801717217</v>
      </c>
      <c r="AY110">
        <f t="shared" si="13"/>
        <v>1883.446105928808</v>
      </c>
      <c r="AZ110" cm="1">
        <f t="array" ref="AZ110">_xlfn.IFS(E110="H",AW110*AI110-AV110,E110="D",AX110*AJ110-AV110,E110="A",AY110*AK110-AV110)</f>
        <v>27.045352140919476</v>
      </c>
      <c r="BA110">
        <f t="shared" si="14"/>
        <v>200.38819000413866</v>
      </c>
    </row>
    <row r="111" spans="1:53" x14ac:dyDescent="0.2">
      <c r="A111">
        <v>32</v>
      </c>
      <c r="B111" t="s">
        <v>67</v>
      </c>
      <c r="C111" s="1">
        <v>44024</v>
      </c>
      <c r="D111" t="s">
        <v>273</v>
      </c>
      <c r="E111" t="s">
        <v>57</v>
      </c>
      <c r="F111" t="s">
        <v>303</v>
      </c>
      <c r="G111" t="s">
        <v>243</v>
      </c>
      <c r="H111" t="s">
        <v>256</v>
      </c>
      <c r="I111" t="s">
        <v>304</v>
      </c>
      <c r="J111" t="s">
        <v>182</v>
      </c>
      <c r="K111" t="s">
        <v>54</v>
      </c>
      <c r="L111">
        <v>2020</v>
      </c>
      <c r="M111">
        <v>2.25</v>
      </c>
      <c r="N111">
        <v>2.25</v>
      </c>
      <c r="O111">
        <v>2</v>
      </c>
      <c r="P111">
        <v>2.5</v>
      </c>
      <c r="Q111">
        <v>2.0499999999999998</v>
      </c>
      <c r="R111">
        <v>3.5</v>
      </c>
      <c r="S111">
        <v>3.5</v>
      </c>
      <c r="T111">
        <v>2.1</v>
      </c>
      <c r="U111">
        <v>3.25</v>
      </c>
      <c r="V111">
        <v>3.5</v>
      </c>
      <c r="W111">
        <v>2.15</v>
      </c>
      <c r="X111">
        <v>3.45</v>
      </c>
      <c r="Y111">
        <v>3.35</v>
      </c>
      <c r="Z111">
        <v>2.1800000000000002</v>
      </c>
      <c r="AA111">
        <v>3.45</v>
      </c>
      <c r="AB111">
        <v>3.5</v>
      </c>
      <c r="AC111">
        <v>2.1</v>
      </c>
      <c r="AD111">
        <v>3.5</v>
      </c>
      <c r="AE111">
        <v>3.5</v>
      </c>
      <c r="AF111">
        <v>2.1</v>
      </c>
      <c r="AG111">
        <v>3.3</v>
      </c>
      <c r="AH111">
        <v>3.4</v>
      </c>
      <c r="AI111">
        <v>2.2000000000000002</v>
      </c>
      <c r="AJ111">
        <v>3.68</v>
      </c>
      <c r="AK111">
        <v>3.7</v>
      </c>
      <c r="AL111">
        <v>2.12</v>
      </c>
      <c r="AM111">
        <v>3.43</v>
      </c>
      <c r="AN111">
        <v>3.46</v>
      </c>
      <c r="AO111">
        <v>1</v>
      </c>
      <c r="AP111">
        <v>0.45611684309258999</v>
      </c>
      <c r="AQ111">
        <v>0.27267854750100401</v>
      </c>
      <c r="AR111">
        <v>0.27120460940640401</v>
      </c>
      <c r="AS111">
        <v>1</v>
      </c>
      <c r="AT111">
        <v>3.45705480369828E-3</v>
      </c>
      <c r="AU111">
        <v>0.67627752736746105</v>
      </c>
      <c r="AV111">
        <f t="shared" si="10"/>
        <v>2715.9950808671101</v>
      </c>
      <c r="AW111">
        <f t="shared" si="11"/>
        <v>1238.8111021401103</v>
      </c>
      <c r="AX111">
        <f t="shared" si="12"/>
        <v>740.59359367071806</v>
      </c>
      <c r="AY111">
        <f t="shared" si="13"/>
        <v>736.59038505628189</v>
      </c>
      <c r="AZ111" cm="1">
        <f t="array" ref="AZ111">_xlfn.IFS(E111="H",AW111*AI111-AV111,E111="D",AX111*AJ111-AV111,E111="A",AY111*AK111-AV111)</f>
        <v>9.3893438411323586</v>
      </c>
      <c r="BA111">
        <f t="shared" si="14"/>
        <v>209.77753384527102</v>
      </c>
    </row>
    <row r="112" spans="1:53" x14ac:dyDescent="0.2">
      <c r="A112">
        <v>35</v>
      </c>
      <c r="B112" t="s">
        <v>67</v>
      </c>
      <c r="C112" s="1">
        <v>44024</v>
      </c>
      <c r="D112" t="s">
        <v>226</v>
      </c>
      <c r="E112" t="s">
        <v>49</v>
      </c>
      <c r="F112" t="s">
        <v>227</v>
      </c>
      <c r="G112" t="s">
        <v>178</v>
      </c>
      <c r="H112" t="s">
        <v>256</v>
      </c>
      <c r="I112" t="s">
        <v>228</v>
      </c>
      <c r="J112" t="s">
        <v>215</v>
      </c>
      <c r="K112" t="s">
        <v>54</v>
      </c>
      <c r="L112">
        <v>2020</v>
      </c>
      <c r="M112">
        <v>1.75</v>
      </c>
      <c r="N112">
        <v>1.5</v>
      </c>
      <c r="O112">
        <v>1.5</v>
      </c>
      <c r="P112">
        <v>1.25</v>
      </c>
      <c r="Q112">
        <v>2.62</v>
      </c>
      <c r="R112">
        <v>3.4</v>
      </c>
      <c r="S112">
        <v>2.7</v>
      </c>
      <c r="T112">
        <v>2.65</v>
      </c>
      <c r="U112">
        <v>3.4</v>
      </c>
      <c r="V112">
        <v>2.65</v>
      </c>
      <c r="W112">
        <v>2.6</v>
      </c>
      <c r="X112">
        <v>3.45</v>
      </c>
      <c r="Y112">
        <v>2.65</v>
      </c>
      <c r="Z112">
        <v>2.68</v>
      </c>
      <c r="AA112">
        <v>3.51</v>
      </c>
      <c r="AB112">
        <v>2.69</v>
      </c>
      <c r="AC112">
        <v>2.6</v>
      </c>
      <c r="AD112">
        <v>3.4</v>
      </c>
      <c r="AE112">
        <v>2.7</v>
      </c>
      <c r="AF112">
        <v>2.6</v>
      </c>
      <c r="AG112">
        <v>3.4</v>
      </c>
      <c r="AH112">
        <v>2.7</v>
      </c>
      <c r="AI112">
        <v>2.75</v>
      </c>
      <c r="AJ112">
        <v>4.4800000000000004</v>
      </c>
      <c r="AK112">
        <v>2.83</v>
      </c>
      <c r="AL112">
        <v>2.6</v>
      </c>
      <c r="AM112">
        <v>3.48</v>
      </c>
      <c r="AN112">
        <v>2.68</v>
      </c>
      <c r="AO112">
        <v>1</v>
      </c>
      <c r="AP112">
        <v>0.386761803367204</v>
      </c>
      <c r="AQ112">
        <v>0.23740958912049301</v>
      </c>
      <c r="AR112">
        <v>0.37582860751230102</v>
      </c>
      <c r="AS112">
        <v>1</v>
      </c>
      <c r="AT112">
        <v>6.3594959259812997E-2</v>
      </c>
      <c r="AU112">
        <v>0.73987248662727401</v>
      </c>
      <c r="AV112">
        <f t="shared" si="10"/>
        <v>2925.7726147123813</v>
      </c>
      <c r="AW112">
        <f t="shared" si="11"/>
        <v>1131.5770927085425</v>
      </c>
      <c r="AX112">
        <f t="shared" si="12"/>
        <v>694.60647431885957</v>
      </c>
      <c r="AY112">
        <f t="shared" si="13"/>
        <v>1099.5890476849793</v>
      </c>
      <c r="AZ112" cm="1">
        <f t="array" ref="AZ112">_xlfn.IFS(E112="H",AW112*AI112-AV112,E112="D",AX112*AJ112-AV112,E112="A",AY112*AK112-AV112)</f>
        <v>186.06439023611074</v>
      </c>
      <c r="BA112">
        <f t="shared" si="14"/>
        <v>395.84192408138176</v>
      </c>
    </row>
    <row r="113" spans="1:53" x14ac:dyDescent="0.2">
      <c r="A113">
        <v>35</v>
      </c>
      <c r="B113" t="s">
        <v>198</v>
      </c>
      <c r="C113" s="1">
        <v>44025</v>
      </c>
      <c r="D113" t="s">
        <v>151</v>
      </c>
      <c r="E113" t="s">
        <v>57</v>
      </c>
      <c r="F113" t="s">
        <v>127</v>
      </c>
      <c r="G113" t="s">
        <v>152</v>
      </c>
      <c r="H113" t="s">
        <v>256</v>
      </c>
      <c r="I113" t="s">
        <v>305</v>
      </c>
      <c r="J113" t="s">
        <v>180</v>
      </c>
      <c r="K113" t="s">
        <v>54</v>
      </c>
      <c r="L113">
        <v>2020</v>
      </c>
      <c r="M113">
        <v>3</v>
      </c>
      <c r="N113">
        <v>3.25</v>
      </c>
      <c r="O113">
        <v>1.75</v>
      </c>
      <c r="P113">
        <v>2</v>
      </c>
      <c r="Q113">
        <v>1.3</v>
      </c>
      <c r="R113">
        <v>5.5</v>
      </c>
      <c r="S113">
        <v>10</v>
      </c>
      <c r="T113">
        <v>1.28</v>
      </c>
      <c r="U113">
        <v>6</v>
      </c>
      <c r="V113">
        <v>10</v>
      </c>
      <c r="W113">
        <v>1.3</v>
      </c>
      <c r="X113">
        <v>5.5</v>
      </c>
      <c r="Y113">
        <v>9.6999999999999993</v>
      </c>
      <c r="Z113">
        <v>1.28</v>
      </c>
      <c r="AA113">
        <v>5.99</v>
      </c>
      <c r="AB113">
        <v>11.75</v>
      </c>
      <c r="AC113">
        <v>1.27</v>
      </c>
      <c r="AD113">
        <v>5.8</v>
      </c>
      <c r="AE113">
        <v>11</v>
      </c>
      <c r="AF113">
        <v>1.29</v>
      </c>
      <c r="AG113">
        <v>5.5</v>
      </c>
      <c r="AH113">
        <v>11</v>
      </c>
      <c r="AI113">
        <v>1.33</v>
      </c>
      <c r="AJ113">
        <v>6.3</v>
      </c>
      <c r="AK113">
        <v>12</v>
      </c>
      <c r="AL113">
        <v>1.29</v>
      </c>
      <c r="AM113">
        <v>5.73</v>
      </c>
      <c r="AN113">
        <v>10.41</v>
      </c>
      <c r="AO113">
        <v>1</v>
      </c>
      <c r="AP113">
        <v>0.75646144147930205</v>
      </c>
      <c r="AQ113">
        <v>0.15969741542340801</v>
      </c>
      <c r="AR113">
        <v>8.3841143097289295E-2</v>
      </c>
      <c r="AS113">
        <v>0.999999999999999</v>
      </c>
      <c r="AT113">
        <v>6.0937171674722004E-3</v>
      </c>
      <c r="AU113">
        <v>0.74596620379474599</v>
      </c>
      <c r="AV113">
        <f t="shared" si="10"/>
        <v>3321.6145387937631</v>
      </c>
      <c r="AW113">
        <f t="shared" si="11"/>
        <v>2512.6733220545379</v>
      </c>
      <c r="AX113">
        <f t="shared" si="12"/>
        <v>530.45325687818024</v>
      </c>
      <c r="AY113">
        <f t="shared" si="13"/>
        <v>278.48795986104466</v>
      </c>
      <c r="AZ113" cm="1">
        <f t="array" ref="AZ113">_xlfn.IFS(E113="H",AW113*AI113-AV113,E113="D",AX113*AJ113-AV113,E113="A",AY113*AK113-AV113)</f>
        <v>20.240979538772081</v>
      </c>
      <c r="BA113">
        <f t="shared" si="14"/>
        <v>416.08290362015384</v>
      </c>
    </row>
    <row r="114" spans="1:53" x14ac:dyDescent="0.2">
      <c r="A114">
        <v>37</v>
      </c>
      <c r="B114" t="s">
        <v>229</v>
      </c>
      <c r="C114" s="1">
        <v>44028</v>
      </c>
      <c r="D114" t="s">
        <v>68</v>
      </c>
      <c r="E114" t="s">
        <v>57</v>
      </c>
      <c r="F114" t="s">
        <v>158</v>
      </c>
      <c r="G114" t="s">
        <v>161</v>
      </c>
      <c r="H114" t="s">
        <v>256</v>
      </c>
      <c r="I114" t="s">
        <v>266</v>
      </c>
      <c r="J114" t="s">
        <v>265</v>
      </c>
      <c r="K114" t="s">
        <v>54</v>
      </c>
      <c r="L114">
        <v>2020</v>
      </c>
      <c r="M114">
        <v>0.75</v>
      </c>
      <c r="N114">
        <v>1.25</v>
      </c>
      <c r="O114">
        <v>2</v>
      </c>
      <c r="P114">
        <v>2</v>
      </c>
      <c r="Q114">
        <v>2.37</v>
      </c>
      <c r="R114">
        <v>3.3</v>
      </c>
      <c r="S114">
        <v>2.9</v>
      </c>
      <c r="T114">
        <v>2.4</v>
      </c>
      <c r="U114">
        <v>3.4</v>
      </c>
      <c r="V114">
        <v>2.95</v>
      </c>
      <c r="W114">
        <v>2.4</v>
      </c>
      <c r="X114">
        <v>3.35</v>
      </c>
      <c r="Y114">
        <v>2.9</v>
      </c>
      <c r="Z114">
        <v>2.4</v>
      </c>
      <c r="AA114">
        <v>3.52</v>
      </c>
      <c r="AB114">
        <v>3.01</v>
      </c>
      <c r="AC114">
        <v>2.4500000000000002</v>
      </c>
      <c r="AD114">
        <v>3.4</v>
      </c>
      <c r="AE114">
        <v>2.9</v>
      </c>
      <c r="AF114">
        <v>2.4</v>
      </c>
      <c r="AG114">
        <v>3.4</v>
      </c>
      <c r="AH114">
        <v>2.88</v>
      </c>
      <c r="AI114">
        <v>2.5499999999999998</v>
      </c>
      <c r="AJ114">
        <v>3.6</v>
      </c>
      <c r="AK114">
        <v>3.08</v>
      </c>
      <c r="AL114">
        <v>2.41</v>
      </c>
      <c r="AM114">
        <v>3.42</v>
      </c>
      <c r="AN114">
        <v>2.91</v>
      </c>
      <c r="AO114">
        <v>1</v>
      </c>
      <c r="AP114">
        <v>0.39428205675271999</v>
      </c>
      <c r="AQ114">
        <v>0.27928312353317603</v>
      </c>
      <c r="AR114">
        <v>0.32643481971410199</v>
      </c>
      <c r="AS114">
        <v>1</v>
      </c>
      <c r="AT114">
        <v>5.4192447194367699E-3</v>
      </c>
      <c r="AU114">
        <v>0.75138544851418299</v>
      </c>
      <c r="AV114">
        <f t="shared" si="10"/>
        <v>3737.6974424139171</v>
      </c>
      <c r="AW114">
        <f t="shared" si="11"/>
        <v>1473.7070351143416</v>
      </c>
      <c r="AX114">
        <f t="shared" si="12"/>
        <v>1043.8758165393253</v>
      </c>
      <c r="AY114">
        <f t="shared" si="13"/>
        <v>1220.1145907602502</v>
      </c>
      <c r="AZ114" cm="1">
        <f t="array" ref="AZ114">_xlfn.IFS(E114="H",AW114*AI114-AV114,E114="D",AX114*AJ114-AV114,E114="A",AY114*AK114-AV114)</f>
        <v>20.255497127654053</v>
      </c>
      <c r="BA114">
        <f t="shared" si="14"/>
        <v>436.3384007478079</v>
      </c>
    </row>
    <row r="115" spans="1:53" x14ac:dyDescent="0.2">
      <c r="A115">
        <v>37</v>
      </c>
      <c r="B115" t="s">
        <v>229</v>
      </c>
      <c r="C115" s="1">
        <v>44028</v>
      </c>
      <c r="D115" t="s">
        <v>68</v>
      </c>
      <c r="E115" t="s">
        <v>74</v>
      </c>
      <c r="F115" t="s">
        <v>263</v>
      </c>
      <c r="G115" t="s">
        <v>287</v>
      </c>
      <c r="H115" t="s">
        <v>256</v>
      </c>
      <c r="I115" t="s">
        <v>264</v>
      </c>
      <c r="J115" t="s">
        <v>272</v>
      </c>
      <c r="K115" t="s">
        <v>54</v>
      </c>
      <c r="L115">
        <v>2020</v>
      </c>
      <c r="M115">
        <v>1.75</v>
      </c>
      <c r="N115">
        <v>2</v>
      </c>
      <c r="O115">
        <v>2</v>
      </c>
      <c r="P115">
        <v>1.75</v>
      </c>
      <c r="Q115">
        <v>2.0499999999999998</v>
      </c>
      <c r="R115">
        <v>3.4</v>
      </c>
      <c r="S115">
        <v>3.5</v>
      </c>
      <c r="T115">
        <v>2.0499999999999998</v>
      </c>
      <c r="U115">
        <v>3.4</v>
      </c>
      <c r="V115">
        <v>3.7</v>
      </c>
      <c r="W115">
        <v>2.0499999999999998</v>
      </c>
      <c r="X115">
        <v>3.4</v>
      </c>
      <c r="Y115">
        <v>3.65</v>
      </c>
      <c r="Z115">
        <v>2.06</v>
      </c>
      <c r="AA115">
        <v>3.59</v>
      </c>
      <c r="AB115">
        <v>3.74</v>
      </c>
      <c r="AC115">
        <v>2.0499999999999998</v>
      </c>
      <c r="AD115">
        <v>3.5</v>
      </c>
      <c r="AE115">
        <v>3.6</v>
      </c>
      <c r="AF115">
        <v>2.1</v>
      </c>
      <c r="AG115">
        <v>3.4</v>
      </c>
      <c r="AH115">
        <v>3.5</v>
      </c>
      <c r="AI115">
        <v>2.17</v>
      </c>
      <c r="AJ115">
        <v>3.74</v>
      </c>
      <c r="AK115">
        <v>3.85</v>
      </c>
      <c r="AL115">
        <v>2.06</v>
      </c>
      <c r="AM115">
        <v>3.47</v>
      </c>
      <c r="AN115">
        <v>3.63</v>
      </c>
      <c r="AO115">
        <v>1</v>
      </c>
      <c r="AP115">
        <v>0.46645048640558701</v>
      </c>
      <c r="AQ115">
        <v>0.27064105762035401</v>
      </c>
      <c r="AR115">
        <v>0.26290845597405799</v>
      </c>
      <c r="AS115">
        <v>1</v>
      </c>
      <c r="AT115">
        <v>1.21975555001248E-2</v>
      </c>
      <c r="AU115">
        <v>0.76358300401430801</v>
      </c>
      <c r="AV115">
        <f t="shared" si="10"/>
        <v>4174.0358431617251</v>
      </c>
      <c r="AW115">
        <f t="shared" si="11"/>
        <v>1946.9810493171431</v>
      </c>
      <c r="AX115">
        <f t="shared" si="12"/>
        <v>1129.6654751385563</v>
      </c>
      <c r="AY115">
        <f t="shared" si="13"/>
        <v>1097.389318706026</v>
      </c>
      <c r="AZ115" cm="1">
        <f t="array" ref="AZ115">_xlfn.IFS(E115="H",AW115*AI115-AV115,E115="D",AX115*AJ115-AV115,E115="A",AY115*AK115-AV115)</f>
        <v>50.913033856474613</v>
      </c>
      <c r="BA115">
        <f t="shared" si="14"/>
        <v>487.25143460428251</v>
      </c>
    </row>
    <row r="116" spans="1:53" x14ac:dyDescent="0.2">
      <c r="A116">
        <v>37</v>
      </c>
      <c r="B116" t="s">
        <v>229</v>
      </c>
      <c r="C116" s="1">
        <v>44028</v>
      </c>
      <c r="D116" t="s">
        <v>68</v>
      </c>
      <c r="E116" t="s">
        <v>74</v>
      </c>
      <c r="F116" t="s">
        <v>236</v>
      </c>
      <c r="G116" t="s">
        <v>286</v>
      </c>
      <c r="H116" t="s">
        <v>256</v>
      </c>
      <c r="I116" t="s">
        <v>306</v>
      </c>
      <c r="J116" t="s">
        <v>307</v>
      </c>
      <c r="K116" t="s">
        <v>54</v>
      </c>
      <c r="L116">
        <v>2020</v>
      </c>
      <c r="M116">
        <v>1.75</v>
      </c>
      <c r="N116">
        <v>1.5</v>
      </c>
      <c r="O116">
        <v>0</v>
      </c>
      <c r="P116">
        <v>0.25</v>
      </c>
      <c r="Q116">
        <v>2.2999999999999998</v>
      </c>
      <c r="R116">
        <v>3.3</v>
      </c>
      <c r="S116">
        <v>3.1</v>
      </c>
      <c r="T116">
        <v>2.35</v>
      </c>
      <c r="U116">
        <v>3.2</v>
      </c>
      <c r="V116">
        <v>3.2</v>
      </c>
      <c r="W116">
        <v>2.35</v>
      </c>
      <c r="X116">
        <v>3.25</v>
      </c>
      <c r="Y116">
        <v>3.15</v>
      </c>
      <c r="Z116">
        <v>2.39</v>
      </c>
      <c r="AA116">
        <v>3.32</v>
      </c>
      <c r="AB116">
        <v>3.19</v>
      </c>
      <c r="AC116">
        <v>2.4</v>
      </c>
      <c r="AD116">
        <v>3.2</v>
      </c>
      <c r="AE116">
        <v>3.1</v>
      </c>
      <c r="AF116">
        <v>2.2999999999999998</v>
      </c>
      <c r="AG116">
        <v>3.3</v>
      </c>
      <c r="AH116">
        <v>3.13</v>
      </c>
      <c r="AI116">
        <v>2.5099999999999998</v>
      </c>
      <c r="AJ116">
        <v>3.36</v>
      </c>
      <c r="AK116">
        <v>3.3</v>
      </c>
      <c r="AL116">
        <v>2.35</v>
      </c>
      <c r="AM116">
        <v>3.25</v>
      </c>
      <c r="AN116">
        <v>3.16</v>
      </c>
      <c r="AO116">
        <v>1</v>
      </c>
      <c r="AP116">
        <v>0.39878293519777303</v>
      </c>
      <c r="AQ116">
        <v>0.29790034742452598</v>
      </c>
      <c r="AR116">
        <v>0.3033167173777</v>
      </c>
      <c r="AS116">
        <v>1</v>
      </c>
      <c r="AT116" s="2">
        <v>9.4516734641025802E-4</v>
      </c>
      <c r="AU116">
        <v>0.76452817136071805</v>
      </c>
      <c r="AV116">
        <f t="shared" si="10"/>
        <v>4661.2872777660077</v>
      </c>
      <c r="AW116">
        <f t="shared" si="11"/>
        <v>1858.8418224275658</v>
      </c>
      <c r="AX116">
        <f t="shared" si="12"/>
        <v>1388.5990994920207</v>
      </c>
      <c r="AY116">
        <f t="shared" si="13"/>
        <v>1413.8463558464214</v>
      </c>
      <c r="AZ116" cm="1">
        <f t="array" ref="AZ116">_xlfn.IFS(E116="H",AW116*AI116-AV116,E116="D",AX116*AJ116-AV116,E116="A",AY116*AK116-AV116)</f>
        <v>4.405696527182954</v>
      </c>
      <c r="BA116">
        <f t="shared" si="14"/>
        <v>491.65713113146546</v>
      </c>
    </row>
    <row r="117" spans="1:53" x14ac:dyDescent="0.2">
      <c r="A117">
        <v>36</v>
      </c>
      <c r="B117" t="s">
        <v>229</v>
      </c>
      <c r="C117" s="1">
        <v>44028</v>
      </c>
      <c r="D117" t="s">
        <v>254</v>
      </c>
      <c r="E117" t="s">
        <v>57</v>
      </c>
      <c r="F117" t="s">
        <v>252</v>
      </c>
      <c r="G117" t="s">
        <v>213</v>
      </c>
      <c r="H117" t="s">
        <v>256</v>
      </c>
      <c r="I117" t="s">
        <v>253</v>
      </c>
      <c r="J117" t="s">
        <v>129</v>
      </c>
      <c r="K117" t="s">
        <v>54</v>
      </c>
      <c r="L117">
        <v>2020</v>
      </c>
      <c r="M117">
        <v>1.5</v>
      </c>
      <c r="N117">
        <v>1</v>
      </c>
      <c r="O117">
        <v>0.25</v>
      </c>
      <c r="P117">
        <v>0.25</v>
      </c>
      <c r="Q117">
        <v>2</v>
      </c>
      <c r="R117">
        <v>3.5</v>
      </c>
      <c r="S117">
        <v>3.75</v>
      </c>
      <c r="T117">
        <v>1.95</v>
      </c>
      <c r="U117">
        <v>3.6</v>
      </c>
      <c r="V117">
        <v>3.8</v>
      </c>
      <c r="W117">
        <v>2</v>
      </c>
      <c r="X117">
        <v>3.55</v>
      </c>
      <c r="Y117">
        <v>3.65</v>
      </c>
      <c r="Z117">
        <v>2.0499999999999998</v>
      </c>
      <c r="AA117">
        <v>3.61</v>
      </c>
      <c r="AB117">
        <v>3.78</v>
      </c>
      <c r="AC117">
        <v>2</v>
      </c>
      <c r="AD117">
        <v>3.6</v>
      </c>
      <c r="AE117">
        <v>3.7</v>
      </c>
      <c r="AF117">
        <v>2</v>
      </c>
      <c r="AG117">
        <v>3.5</v>
      </c>
      <c r="AH117">
        <v>3.8</v>
      </c>
      <c r="AI117">
        <v>2.1</v>
      </c>
      <c r="AJ117">
        <v>3.74</v>
      </c>
      <c r="AK117">
        <v>3.94</v>
      </c>
      <c r="AL117">
        <v>2.02</v>
      </c>
      <c r="AM117">
        <v>3.57</v>
      </c>
      <c r="AN117">
        <v>3.74</v>
      </c>
      <c r="AO117">
        <v>1</v>
      </c>
      <c r="AP117">
        <v>0.477442683290348</v>
      </c>
      <c r="AQ117">
        <v>0.26808279008281599</v>
      </c>
      <c r="AR117">
        <v>0.25447452662683501</v>
      </c>
      <c r="AS117">
        <v>1</v>
      </c>
      <c r="AT117">
        <v>2.6296349097318901E-3</v>
      </c>
      <c r="AU117">
        <v>0.76715780627045005</v>
      </c>
      <c r="AV117">
        <f t="shared" si="10"/>
        <v>5152.9444088974733</v>
      </c>
      <c r="AW117">
        <f t="shared" si="11"/>
        <v>2460.2356054300085</v>
      </c>
      <c r="AX117">
        <f t="shared" si="12"/>
        <v>1381.4157142788818</v>
      </c>
      <c r="AY117">
        <f t="shared" si="13"/>
        <v>1311.2930891885833</v>
      </c>
      <c r="AZ117" cm="1">
        <f t="array" ref="AZ117">_xlfn.IFS(E117="H",AW117*AI117-AV117,E117="D",AX117*AJ117-AV117,E117="A",AY117*AK117-AV117)</f>
        <v>13.550362505544399</v>
      </c>
      <c r="BA117">
        <f t="shared" si="14"/>
        <v>505.20749363700986</v>
      </c>
    </row>
    <row r="118" spans="1:53" x14ac:dyDescent="0.2">
      <c r="A118">
        <v>38</v>
      </c>
      <c r="B118" t="s">
        <v>67</v>
      </c>
      <c r="C118" s="1">
        <v>44031</v>
      </c>
      <c r="D118" t="s">
        <v>68</v>
      </c>
      <c r="E118" t="s">
        <v>49</v>
      </c>
      <c r="F118" t="s">
        <v>308</v>
      </c>
      <c r="G118" t="s">
        <v>162</v>
      </c>
      <c r="H118" t="s">
        <v>256</v>
      </c>
      <c r="I118" t="s">
        <v>309</v>
      </c>
      <c r="J118" t="s">
        <v>310</v>
      </c>
      <c r="K118" t="s">
        <v>54</v>
      </c>
      <c r="L118">
        <v>2020</v>
      </c>
      <c r="M118">
        <v>1</v>
      </c>
      <c r="N118">
        <v>1.5</v>
      </c>
      <c r="O118">
        <v>0.75</v>
      </c>
      <c r="P118">
        <v>0.25</v>
      </c>
      <c r="Q118">
        <v>5</v>
      </c>
      <c r="R118">
        <v>3.8</v>
      </c>
      <c r="S118">
        <v>1.66</v>
      </c>
      <c r="T118">
        <v>5</v>
      </c>
      <c r="U118">
        <v>3.6</v>
      </c>
      <c r="V118">
        <v>1.7</v>
      </c>
      <c r="W118">
        <v>4.75</v>
      </c>
      <c r="X118">
        <v>3.5</v>
      </c>
      <c r="Y118">
        <v>1.8</v>
      </c>
      <c r="Z118">
        <v>5.14</v>
      </c>
      <c r="AA118">
        <v>3.41</v>
      </c>
      <c r="AB118">
        <v>1.83</v>
      </c>
      <c r="AC118">
        <v>4.8</v>
      </c>
      <c r="AD118">
        <v>3.7</v>
      </c>
      <c r="AE118">
        <v>1.75</v>
      </c>
      <c r="AF118">
        <v>4.75</v>
      </c>
      <c r="AG118">
        <v>3.6</v>
      </c>
      <c r="AH118">
        <v>1.75</v>
      </c>
      <c r="AI118">
        <v>5.8</v>
      </c>
      <c r="AJ118">
        <v>3.9</v>
      </c>
      <c r="AK118">
        <v>1.87</v>
      </c>
      <c r="AL118">
        <v>4.8600000000000003</v>
      </c>
      <c r="AM118">
        <v>3.55</v>
      </c>
      <c r="AN118">
        <v>1.77</v>
      </c>
      <c r="AO118">
        <v>1</v>
      </c>
      <c r="AP118">
        <v>0.17892980691381</v>
      </c>
      <c r="AQ118">
        <v>0.266100738487205</v>
      </c>
      <c r="AR118">
        <v>0.55496945459898395</v>
      </c>
      <c r="AS118">
        <v>1</v>
      </c>
      <c r="AT118">
        <v>3.7792880100100602E-2</v>
      </c>
      <c r="AU118">
        <v>0.80495068637055001</v>
      </c>
      <c r="AV118">
        <f t="shared" si="10"/>
        <v>5658.1519025344833</v>
      </c>
      <c r="AW118">
        <f t="shared" si="11"/>
        <v>1012.4120274095043</v>
      </c>
      <c r="AX118">
        <f t="shared" si="12"/>
        <v>1505.6383997372116</v>
      </c>
      <c r="AY118">
        <f t="shared" si="13"/>
        <v>3140.1014753877671</v>
      </c>
      <c r="AZ118" cm="1">
        <f t="array" ref="AZ118">_xlfn.IFS(E118="H",AW118*AI118-AV118,E118="D",AX118*AJ118-AV118,E118="A",AY118*AK118-AV118)</f>
        <v>213.83785644064119</v>
      </c>
      <c r="BA118">
        <f t="shared" si="14"/>
        <v>719.04535007765105</v>
      </c>
    </row>
    <row r="119" spans="1:53" x14ac:dyDescent="0.2">
      <c r="A119">
        <v>38</v>
      </c>
      <c r="B119" t="s">
        <v>67</v>
      </c>
      <c r="C119" s="1">
        <v>44031</v>
      </c>
      <c r="D119" t="s">
        <v>68</v>
      </c>
      <c r="E119" t="s">
        <v>49</v>
      </c>
      <c r="F119" t="s">
        <v>287</v>
      </c>
      <c r="G119" t="s">
        <v>311</v>
      </c>
      <c r="H119" t="s">
        <v>256</v>
      </c>
      <c r="I119" t="s">
        <v>312</v>
      </c>
      <c r="J119" t="s">
        <v>265</v>
      </c>
      <c r="K119" t="s">
        <v>54</v>
      </c>
      <c r="L119">
        <v>2020</v>
      </c>
      <c r="M119">
        <v>0.25</v>
      </c>
      <c r="N119">
        <v>1</v>
      </c>
      <c r="O119">
        <v>1.75</v>
      </c>
      <c r="P119">
        <v>1.5</v>
      </c>
      <c r="Q119">
        <v>2</v>
      </c>
      <c r="R119">
        <v>3.5</v>
      </c>
      <c r="S119">
        <v>3.4</v>
      </c>
      <c r="T119">
        <v>2.1</v>
      </c>
      <c r="U119">
        <v>3.2</v>
      </c>
      <c r="V119">
        <v>3.5</v>
      </c>
      <c r="W119">
        <v>2</v>
      </c>
      <c r="X119">
        <v>3.4</v>
      </c>
      <c r="Y119">
        <v>3.8</v>
      </c>
      <c r="Z119">
        <v>1.99</v>
      </c>
      <c r="AA119">
        <v>3.65</v>
      </c>
      <c r="AB119">
        <v>3.91</v>
      </c>
      <c r="AC119">
        <v>2</v>
      </c>
      <c r="AD119">
        <v>3.6</v>
      </c>
      <c r="AE119">
        <v>3.7</v>
      </c>
      <c r="AF119">
        <v>2.0499999999999998</v>
      </c>
      <c r="AG119">
        <v>3.4</v>
      </c>
      <c r="AH119">
        <v>3.6</v>
      </c>
      <c r="AI119">
        <v>2.1</v>
      </c>
      <c r="AJ119">
        <v>3.85</v>
      </c>
      <c r="AK119">
        <v>3.95</v>
      </c>
      <c r="AL119">
        <v>2.0299999999999998</v>
      </c>
      <c r="AM119">
        <v>3.47</v>
      </c>
      <c r="AN119">
        <v>3.7</v>
      </c>
      <c r="AO119">
        <v>1</v>
      </c>
      <c r="AP119">
        <v>0.48144044321329599</v>
      </c>
      <c r="AQ119">
        <v>0.262603878116343</v>
      </c>
      <c r="AR119">
        <v>0.25595567867036001</v>
      </c>
      <c r="AS119">
        <v>1</v>
      </c>
      <c r="AT119">
        <v>1.1024930747922599E-2</v>
      </c>
      <c r="AU119">
        <v>0.815975617118473</v>
      </c>
      <c r="AV119">
        <f t="shared" si="10"/>
        <v>6377.1972526121344</v>
      </c>
      <c r="AW119">
        <f t="shared" si="11"/>
        <v>3070.2406717562026</v>
      </c>
      <c r="AX119">
        <f t="shared" si="12"/>
        <v>1674.6767300488377</v>
      </c>
      <c r="AY119">
        <f t="shared" si="13"/>
        <v>1632.2798508070948</v>
      </c>
      <c r="AZ119" cm="1">
        <f t="array" ref="AZ119">_xlfn.IFS(E119="H",AW119*AI119-AV119,E119="D",AX119*AJ119-AV119,E119="A",AY119*AK119-AV119)</f>
        <v>70.308158075890788</v>
      </c>
      <c r="BA119">
        <f t="shared" si="14"/>
        <v>789.35350815354184</v>
      </c>
    </row>
    <row r="120" spans="1:53" x14ac:dyDescent="0.2">
      <c r="A120">
        <v>37</v>
      </c>
      <c r="B120" t="s">
        <v>130</v>
      </c>
      <c r="C120" s="1">
        <v>44033</v>
      </c>
      <c r="D120" t="s">
        <v>254</v>
      </c>
      <c r="E120" t="s">
        <v>74</v>
      </c>
      <c r="F120" t="s">
        <v>230</v>
      </c>
      <c r="G120" t="s">
        <v>101</v>
      </c>
      <c r="H120" t="s">
        <v>256</v>
      </c>
      <c r="I120" t="s">
        <v>313</v>
      </c>
      <c r="J120" t="s">
        <v>215</v>
      </c>
      <c r="K120" t="s">
        <v>54</v>
      </c>
      <c r="L120">
        <v>2020</v>
      </c>
      <c r="M120">
        <v>1.75</v>
      </c>
      <c r="N120">
        <v>1.5</v>
      </c>
      <c r="O120">
        <v>0.75</v>
      </c>
      <c r="P120">
        <v>1.5</v>
      </c>
      <c r="Q120">
        <v>8.5</v>
      </c>
      <c r="R120">
        <v>5.5</v>
      </c>
      <c r="S120">
        <v>1.33</v>
      </c>
      <c r="T120">
        <v>9</v>
      </c>
      <c r="U120">
        <v>5.75</v>
      </c>
      <c r="V120">
        <v>1.3</v>
      </c>
      <c r="W120">
        <v>8</v>
      </c>
      <c r="X120">
        <v>5.25</v>
      </c>
      <c r="Y120">
        <v>1.35</v>
      </c>
      <c r="Z120">
        <v>8.57</v>
      </c>
      <c r="AA120">
        <v>5.73</v>
      </c>
      <c r="AB120">
        <v>1.34</v>
      </c>
      <c r="AC120">
        <v>9.5</v>
      </c>
      <c r="AD120">
        <v>5.8</v>
      </c>
      <c r="AE120">
        <v>1.3</v>
      </c>
      <c r="AF120">
        <v>10</v>
      </c>
      <c r="AG120">
        <v>5.75</v>
      </c>
      <c r="AH120">
        <v>1.3</v>
      </c>
      <c r="AI120">
        <v>10</v>
      </c>
      <c r="AJ120">
        <v>6.15</v>
      </c>
      <c r="AK120">
        <v>1.37</v>
      </c>
      <c r="AL120">
        <v>8.6199999999999992</v>
      </c>
      <c r="AM120">
        <v>5.6</v>
      </c>
      <c r="AN120">
        <v>1.33</v>
      </c>
      <c r="AO120">
        <v>1</v>
      </c>
      <c r="AP120">
        <v>0.100752760820563</v>
      </c>
      <c r="AQ120">
        <v>0.16382562735050901</v>
      </c>
      <c r="AR120">
        <v>0.73542161182892696</v>
      </c>
      <c r="AS120">
        <v>1</v>
      </c>
      <c r="AT120">
        <v>7.5276082056312497E-3</v>
      </c>
      <c r="AU120">
        <v>0.82350322532410403</v>
      </c>
      <c r="AV120">
        <f t="shared" si="10"/>
        <v>7166.5507607656764</v>
      </c>
      <c r="AW120">
        <f t="shared" si="11"/>
        <v>722.04977470784877</v>
      </c>
      <c r="AX120">
        <f t="shared" si="12"/>
        <v>1174.0646743217053</v>
      </c>
      <c r="AY120">
        <f t="shared" si="13"/>
        <v>5270.4363117361227</v>
      </c>
      <c r="AZ120" cm="1">
        <f t="array" ref="AZ120">_xlfn.IFS(E120="H",AW120*AI120-AV120,E120="D",AX120*AJ120-AV120,E120="A",AY120*AK120-AV120)</f>
        <v>53.946986312812442</v>
      </c>
      <c r="BA120">
        <f t="shared" si="14"/>
        <v>843.30049446635428</v>
      </c>
    </row>
    <row r="121" spans="1:53" x14ac:dyDescent="0.2">
      <c r="A121">
        <v>35</v>
      </c>
      <c r="B121" t="s">
        <v>229</v>
      </c>
      <c r="C121" s="1">
        <v>44035</v>
      </c>
      <c r="D121" t="s">
        <v>270</v>
      </c>
      <c r="E121" t="s">
        <v>49</v>
      </c>
      <c r="F121" t="s">
        <v>314</v>
      </c>
      <c r="G121" t="s">
        <v>132</v>
      </c>
      <c r="H121" t="s">
        <v>256</v>
      </c>
      <c r="I121" t="s">
        <v>315</v>
      </c>
      <c r="J121" t="s">
        <v>316</v>
      </c>
      <c r="K121" t="s">
        <v>54</v>
      </c>
      <c r="L121">
        <v>2020</v>
      </c>
      <c r="M121">
        <v>0.5</v>
      </c>
      <c r="N121">
        <v>1.25</v>
      </c>
      <c r="O121">
        <v>1.75</v>
      </c>
      <c r="P121">
        <v>2.5</v>
      </c>
      <c r="Q121">
        <v>5.25</v>
      </c>
      <c r="R121">
        <v>3.75</v>
      </c>
      <c r="S121">
        <v>1.65</v>
      </c>
      <c r="T121">
        <v>5.25</v>
      </c>
      <c r="U121">
        <v>3.9</v>
      </c>
      <c r="V121">
        <v>1.65</v>
      </c>
      <c r="W121">
        <v>5.25</v>
      </c>
      <c r="X121">
        <v>3.8</v>
      </c>
      <c r="Y121">
        <v>1.67</v>
      </c>
      <c r="Z121">
        <v>5.48</v>
      </c>
      <c r="AA121">
        <v>4.0199999999999996</v>
      </c>
      <c r="AB121">
        <v>1.66</v>
      </c>
      <c r="AC121">
        <v>5.25</v>
      </c>
      <c r="AD121">
        <v>4</v>
      </c>
      <c r="AE121">
        <v>1.63</v>
      </c>
      <c r="AF121">
        <v>5.5</v>
      </c>
      <c r="AG121">
        <v>3.75</v>
      </c>
      <c r="AH121">
        <v>1.62</v>
      </c>
      <c r="AI121">
        <v>5.65</v>
      </c>
      <c r="AJ121">
        <v>4.3</v>
      </c>
      <c r="AK121">
        <v>1.7</v>
      </c>
      <c r="AL121">
        <v>5.2</v>
      </c>
      <c r="AM121">
        <v>3.91</v>
      </c>
      <c r="AN121">
        <v>1.65</v>
      </c>
      <c r="AO121">
        <v>1</v>
      </c>
      <c r="AP121">
        <v>0.17738413006551801</v>
      </c>
      <c r="AQ121">
        <v>0.23307449648143599</v>
      </c>
      <c r="AR121">
        <v>0.58954137345304503</v>
      </c>
      <c r="AS121">
        <v>1</v>
      </c>
      <c r="AT121">
        <v>2.2203348701770298E-3</v>
      </c>
      <c r="AU121">
        <v>0.82572356019428095</v>
      </c>
      <c r="AV121">
        <f t="shared" si="10"/>
        <v>8009.8512552320308</v>
      </c>
      <c r="AW121">
        <f t="shared" si="11"/>
        <v>1420.8204968635316</v>
      </c>
      <c r="AX121">
        <f t="shared" si="12"/>
        <v>1866.8920482044082</v>
      </c>
      <c r="AY121">
        <f t="shared" si="13"/>
        <v>4722.1387101640912</v>
      </c>
      <c r="AZ121" cm="1">
        <f t="array" ref="AZ121">_xlfn.IFS(E121="H",AW121*AI121-AV121,E121="D",AX121*AJ121-AV121,E121="A",AY121*AK121-AV121)</f>
        <v>17.784552046923636</v>
      </c>
      <c r="BA121">
        <f t="shared" si="14"/>
        <v>861.08504651327792</v>
      </c>
    </row>
    <row r="122" spans="1:53" x14ac:dyDescent="0.2">
      <c r="A122">
        <v>35</v>
      </c>
      <c r="B122" t="s">
        <v>229</v>
      </c>
      <c r="C122" s="1">
        <v>44035</v>
      </c>
      <c r="D122" t="s">
        <v>273</v>
      </c>
      <c r="E122" t="s">
        <v>49</v>
      </c>
      <c r="F122" t="s">
        <v>184</v>
      </c>
      <c r="G122" t="s">
        <v>141</v>
      </c>
      <c r="H122" t="s">
        <v>256</v>
      </c>
      <c r="I122" t="s">
        <v>110</v>
      </c>
      <c r="J122" t="s">
        <v>317</v>
      </c>
      <c r="K122" t="s">
        <v>54</v>
      </c>
      <c r="L122">
        <v>2020</v>
      </c>
      <c r="M122">
        <v>1.5</v>
      </c>
      <c r="N122">
        <v>1.25</v>
      </c>
      <c r="O122">
        <v>1.25</v>
      </c>
      <c r="P122">
        <v>0.5</v>
      </c>
      <c r="Q122">
        <v>1.45</v>
      </c>
      <c r="R122">
        <v>4.33</v>
      </c>
      <c r="S122">
        <v>7</v>
      </c>
      <c r="T122">
        <v>1.48</v>
      </c>
      <c r="U122">
        <v>4.5</v>
      </c>
      <c r="V122">
        <v>6.5</v>
      </c>
      <c r="W122">
        <v>1.5</v>
      </c>
      <c r="X122">
        <v>4.4000000000000004</v>
      </c>
      <c r="Y122">
        <v>6.25</v>
      </c>
      <c r="Z122">
        <v>1.48</v>
      </c>
      <c r="AA122">
        <v>4.71</v>
      </c>
      <c r="AB122">
        <v>6.74</v>
      </c>
      <c r="AC122">
        <v>1.47</v>
      </c>
      <c r="AD122">
        <v>4.5999999999999996</v>
      </c>
      <c r="AE122">
        <v>6.5</v>
      </c>
      <c r="AF122">
        <v>1.4</v>
      </c>
      <c r="AG122">
        <v>4.33</v>
      </c>
      <c r="AH122">
        <v>8</v>
      </c>
      <c r="AI122">
        <v>1.52</v>
      </c>
      <c r="AJ122">
        <v>4.9000000000000004</v>
      </c>
      <c r="AK122">
        <v>8</v>
      </c>
      <c r="AL122">
        <v>1.47</v>
      </c>
      <c r="AM122">
        <v>4.57</v>
      </c>
      <c r="AN122">
        <v>6.51</v>
      </c>
      <c r="AO122">
        <v>1</v>
      </c>
      <c r="AP122">
        <v>0.66657597605767904</v>
      </c>
      <c r="AQ122">
        <v>0.20677458849136099</v>
      </c>
      <c r="AR122">
        <v>0.126649435450959</v>
      </c>
      <c r="AS122">
        <v>1</v>
      </c>
      <c r="AT122">
        <v>1.3195483607672399E-2</v>
      </c>
      <c r="AU122">
        <v>0.83891904380195403</v>
      </c>
      <c r="AV122">
        <f t="shared" si="10"/>
        <v>8870.9363017453088</v>
      </c>
      <c r="AW122">
        <f t="shared" si="11"/>
        <v>5913.1530238813793</v>
      </c>
      <c r="AX122">
        <f t="shared" si="12"/>
        <v>1834.2842033264685</v>
      </c>
      <c r="AY122">
        <f t="shared" si="13"/>
        <v>1123.4990745374619</v>
      </c>
      <c r="AZ122" cm="1">
        <f t="array" ref="AZ122">_xlfn.IFS(E122="H",AW122*AI122-AV122,E122="D",AX122*AJ122-AV122,E122="A",AY122*AK122-AV122)</f>
        <v>117.05629455438793</v>
      </c>
      <c r="BA122">
        <f t="shared" si="14"/>
        <v>978.14134106766585</v>
      </c>
    </row>
    <row r="123" spans="1:53" x14ac:dyDescent="0.2">
      <c r="A123">
        <v>36</v>
      </c>
      <c r="B123" t="s">
        <v>55</v>
      </c>
      <c r="C123" s="1">
        <v>44037</v>
      </c>
      <c r="D123" t="s">
        <v>270</v>
      </c>
      <c r="E123" t="s">
        <v>74</v>
      </c>
      <c r="F123" t="s">
        <v>274</v>
      </c>
      <c r="G123" t="s">
        <v>318</v>
      </c>
      <c r="H123" t="s">
        <v>256</v>
      </c>
      <c r="I123" t="s">
        <v>275</v>
      </c>
      <c r="J123" t="s">
        <v>319</v>
      </c>
      <c r="K123" t="s">
        <v>54</v>
      </c>
      <c r="L123">
        <v>2020</v>
      </c>
      <c r="M123">
        <v>1.5</v>
      </c>
      <c r="N123">
        <v>1.5</v>
      </c>
      <c r="O123">
        <v>2</v>
      </c>
      <c r="P123">
        <v>2.5</v>
      </c>
      <c r="Q123">
        <v>5</v>
      </c>
      <c r="R123">
        <v>4.2</v>
      </c>
      <c r="S123">
        <v>1.61</v>
      </c>
      <c r="T123">
        <v>5</v>
      </c>
      <c r="U123">
        <v>4.0999999999999996</v>
      </c>
      <c r="V123">
        <v>1.62</v>
      </c>
      <c r="W123">
        <v>5.25</v>
      </c>
      <c r="X123">
        <v>4.4000000000000004</v>
      </c>
      <c r="Y123">
        <v>1.6</v>
      </c>
      <c r="Z123">
        <v>5.19</v>
      </c>
      <c r="AA123">
        <v>4.22</v>
      </c>
      <c r="AB123">
        <v>1.65</v>
      </c>
      <c r="AC123">
        <v>5.25</v>
      </c>
      <c r="AD123">
        <v>4.2</v>
      </c>
      <c r="AE123">
        <v>1.6</v>
      </c>
      <c r="AF123">
        <v>5.5</v>
      </c>
      <c r="AG123">
        <v>4.0999999999999996</v>
      </c>
      <c r="AH123">
        <v>1.62</v>
      </c>
      <c r="AI123">
        <v>5.5</v>
      </c>
      <c r="AJ123">
        <v>4.45</v>
      </c>
      <c r="AK123">
        <v>1.69</v>
      </c>
      <c r="AL123">
        <v>5.07</v>
      </c>
      <c r="AM123">
        <v>4.16</v>
      </c>
      <c r="AN123">
        <v>1.63</v>
      </c>
      <c r="AO123">
        <v>1</v>
      </c>
      <c r="AP123">
        <v>0.18213632675797001</v>
      </c>
      <c r="AQ123">
        <v>0.225112313970525</v>
      </c>
      <c r="AR123">
        <v>0.59275135927150302</v>
      </c>
      <c r="AS123">
        <v>1</v>
      </c>
      <c r="AT123">
        <v>1.74979716884049E-3</v>
      </c>
      <c r="AU123">
        <v>0.84066884097079397</v>
      </c>
      <c r="AV123">
        <f t="shared" si="10"/>
        <v>9849.0776428129739</v>
      </c>
      <c r="AW123">
        <f t="shared" si="11"/>
        <v>1793.8748238160101</v>
      </c>
      <c r="AX123">
        <f t="shared" si="12"/>
        <v>2217.1486586490014</v>
      </c>
      <c r="AY123">
        <f t="shared" si="13"/>
        <v>5838.0541603479633</v>
      </c>
      <c r="AZ123" cm="1">
        <f t="array" ref="AZ123">_xlfn.IFS(E123="H",AW123*AI123-AV123,E123="D",AX123*AJ123-AV123,E123="A",AY123*AK123-AV123)</f>
        <v>17.233888175083848</v>
      </c>
      <c r="BA123">
        <f t="shared" si="14"/>
        <v>995.3752292427497</v>
      </c>
    </row>
    <row r="124" spans="1:53" x14ac:dyDescent="0.2">
      <c r="A124">
        <v>36</v>
      </c>
      <c r="B124" t="s">
        <v>67</v>
      </c>
      <c r="C124" s="1">
        <v>44038</v>
      </c>
      <c r="D124" t="s">
        <v>270</v>
      </c>
      <c r="E124" t="s">
        <v>74</v>
      </c>
      <c r="F124" t="s">
        <v>142</v>
      </c>
      <c r="G124" t="s">
        <v>184</v>
      </c>
      <c r="H124" t="s">
        <v>256</v>
      </c>
      <c r="I124" t="s">
        <v>320</v>
      </c>
      <c r="J124" t="s">
        <v>144</v>
      </c>
      <c r="K124" t="s">
        <v>54</v>
      </c>
      <c r="L124">
        <v>2020</v>
      </c>
      <c r="M124">
        <v>1.25</v>
      </c>
      <c r="N124">
        <v>1.5</v>
      </c>
      <c r="O124">
        <v>1</v>
      </c>
      <c r="P124">
        <v>1</v>
      </c>
      <c r="Q124">
        <v>3.4</v>
      </c>
      <c r="R124">
        <v>3.6</v>
      </c>
      <c r="S124">
        <v>2.0499999999999998</v>
      </c>
      <c r="T124">
        <v>3.5</v>
      </c>
      <c r="U124">
        <v>3.6</v>
      </c>
      <c r="V124">
        <v>2</v>
      </c>
      <c r="W124">
        <v>3.4</v>
      </c>
      <c r="X124">
        <v>3.4</v>
      </c>
      <c r="Y124">
        <v>2.15</v>
      </c>
      <c r="Z124">
        <v>3.52</v>
      </c>
      <c r="AA124">
        <v>3.55</v>
      </c>
      <c r="AB124">
        <v>2.14</v>
      </c>
      <c r="AC124">
        <v>3.5</v>
      </c>
      <c r="AD124">
        <v>3.5</v>
      </c>
      <c r="AE124">
        <v>2.1</v>
      </c>
      <c r="AF124">
        <v>3.4</v>
      </c>
      <c r="AG124">
        <v>3.5</v>
      </c>
      <c r="AH124">
        <v>2.0499999999999998</v>
      </c>
      <c r="AI124">
        <v>3.66</v>
      </c>
      <c r="AJ124">
        <v>3.75</v>
      </c>
      <c r="AK124">
        <v>2.19</v>
      </c>
      <c r="AL124">
        <v>3.43</v>
      </c>
      <c r="AM124">
        <v>3.54</v>
      </c>
      <c r="AN124">
        <v>2.09</v>
      </c>
      <c r="AO124">
        <v>1</v>
      </c>
      <c r="AP124">
        <v>0.27418046332742402</v>
      </c>
      <c r="AQ124">
        <v>0.26760013220756501</v>
      </c>
      <c r="AR124">
        <v>0.45821940446501003</v>
      </c>
      <c r="AS124">
        <v>1</v>
      </c>
      <c r="AT124">
        <v>3.5004957783719699E-3</v>
      </c>
      <c r="AU124">
        <v>0.84416933674916605</v>
      </c>
      <c r="AV124">
        <f t="shared" si="10"/>
        <v>10844.452872055723</v>
      </c>
      <c r="AW124">
        <f t="shared" si="11"/>
        <v>2973.3371129926527</v>
      </c>
      <c r="AX124">
        <f t="shared" si="12"/>
        <v>2901.9770222808288</v>
      </c>
      <c r="AY124">
        <f t="shared" si="13"/>
        <v>4969.1387367822408</v>
      </c>
      <c r="AZ124" cm="1">
        <f t="array" ref="AZ124">_xlfn.IFS(E124="H",AW124*AI124-AV124,E124="D",AX124*AJ124-AV124,E124="A",AY124*AK124-AV124)</f>
        <v>37.960961497385142</v>
      </c>
      <c r="BA124">
        <f t="shared" si="14"/>
        <v>1033.336190740135</v>
      </c>
    </row>
    <row r="125" spans="1:53" x14ac:dyDescent="0.2">
      <c r="A125">
        <v>36</v>
      </c>
      <c r="B125" t="s">
        <v>67</v>
      </c>
      <c r="C125" s="1">
        <v>44038</v>
      </c>
      <c r="D125" t="s">
        <v>273</v>
      </c>
      <c r="E125" t="s">
        <v>49</v>
      </c>
      <c r="F125" t="s">
        <v>132</v>
      </c>
      <c r="G125" t="s">
        <v>278</v>
      </c>
      <c r="H125" t="s">
        <v>256</v>
      </c>
      <c r="I125" t="s">
        <v>321</v>
      </c>
      <c r="J125" t="s">
        <v>299</v>
      </c>
      <c r="K125" t="s">
        <v>54</v>
      </c>
      <c r="L125">
        <v>2020</v>
      </c>
      <c r="M125">
        <v>2.5</v>
      </c>
      <c r="N125">
        <v>3</v>
      </c>
      <c r="O125">
        <v>2.25</v>
      </c>
      <c r="P125">
        <v>2</v>
      </c>
      <c r="Q125">
        <v>1.25</v>
      </c>
      <c r="R125">
        <v>6</v>
      </c>
      <c r="S125">
        <v>11</v>
      </c>
      <c r="T125">
        <v>1.25</v>
      </c>
      <c r="U125">
        <v>6</v>
      </c>
      <c r="V125">
        <v>10.5</v>
      </c>
      <c r="W125">
        <v>1.3</v>
      </c>
      <c r="X125">
        <v>5.75</v>
      </c>
      <c r="Y125">
        <v>10</v>
      </c>
      <c r="Z125">
        <v>1.27</v>
      </c>
      <c r="AA125">
        <v>6.07</v>
      </c>
      <c r="AB125">
        <v>12.19</v>
      </c>
      <c r="AC125">
        <v>1.27</v>
      </c>
      <c r="AD125">
        <v>5.8</v>
      </c>
      <c r="AE125">
        <v>12</v>
      </c>
      <c r="AF125">
        <v>1.22</v>
      </c>
      <c r="AG125">
        <v>5.75</v>
      </c>
      <c r="AH125">
        <v>13</v>
      </c>
      <c r="AI125">
        <v>1.3</v>
      </c>
      <c r="AJ125">
        <v>6.75</v>
      </c>
      <c r="AK125">
        <v>13</v>
      </c>
      <c r="AL125">
        <v>1.26</v>
      </c>
      <c r="AM125">
        <v>5.87</v>
      </c>
      <c r="AN125">
        <v>11.13</v>
      </c>
      <c r="AO125">
        <v>1</v>
      </c>
      <c r="AP125">
        <v>0.77363896848137503</v>
      </c>
      <c r="AQ125">
        <v>0.148997134670487</v>
      </c>
      <c r="AR125">
        <v>7.7363896848137506E-2</v>
      </c>
      <c r="AS125">
        <v>0.999999999999999</v>
      </c>
      <c r="AT125">
        <v>5.7306590257879498E-3</v>
      </c>
      <c r="AU125">
        <v>0.84989999577495401</v>
      </c>
      <c r="AV125">
        <f t="shared" si="10"/>
        <v>11877.789062795859</v>
      </c>
      <c r="AW125">
        <f t="shared" si="11"/>
        <v>9189.1204783807498</v>
      </c>
      <c r="AX125">
        <f t="shared" si="12"/>
        <v>1769.7565365770333</v>
      </c>
      <c r="AY125">
        <f t="shared" si="13"/>
        <v>918.91204783807507</v>
      </c>
      <c r="AZ125" cm="1">
        <f t="array" ref="AZ125">_xlfn.IFS(E125="H",AW125*AI125-AV125,E125="D",AX125*AJ125-AV125,E125="A",AY125*AK125-AV125)</f>
        <v>68.067559099115897</v>
      </c>
      <c r="BA125">
        <f t="shared" si="14"/>
        <v>1101.4037498392508</v>
      </c>
    </row>
    <row r="126" spans="1:53" x14ac:dyDescent="0.2">
      <c r="A126">
        <v>38</v>
      </c>
      <c r="B126" t="s">
        <v>67</v>
      </c>
      <c r="C126" s="1">
        <v>44038</v>
      </c>
      <c r="D126" t="s">
        <v>322</v>
      </c>
      <c r="E126" t="s">
        <v>74</v>
      </c>
      <c r="F126" t="s">
        <v>248</v>
      </c>
      <c r="G126" t="s">
        <v>210</v>
      </c>
      <c r="H126" t="s">
        <v>256</v>
      </c>
      <c r="I126" t="s">
        <v>250</v>
      </c>
      <c r="J126" t="s">
        <v>129</v>
      </c>
      <c r="K126" t="s">
        <v>54</v>
      </c>
      <c r="L126">
        <v>2020</v>
      </c>
      <c r="M126">
        <v>1.25</v>
      </c>
      <c r="N126">
        <v>1.75</v>
      </c>
      <c r="O126">
        <v>1</v>
      </c>
      <c r="P126">
        <v>1</v>
      </c>
      <c r="Q126">
        <v>7.5</v>
      </c>
      <c r="R126">
        <v>5.25</v>
      </c>
      <c r="S126">
        <v>1.36</v>
      </c>
      <c r="T126">
        <v>7.5</v>
      </c>
      <c r="U126">
        <v>4.75</v>
      </c>
      <c r="V126">
        <v>1.42</v>
      </c>
      <c r="W126">
        <v>7.5</v>
      </c>
      <c r="X126">
        <v>4.8</v>
      </c>
      <c r="Y126">
        <v>1.4</v>
      </c>
      <c r="Z126">
        <v>7.79</v>
      </c>
      <c r="AA126">
        <v>5.07</v>
      </c>
      <c r="AB126">
        <v>1.41</v>
      </c>
      <c r="AC126">
        <v>8</v>
      </c>
      <c r="AD126">
        <v>5</v>
      </c>
      <c r="AE126">
        <v>1.38</v>
      </c>
      <c r="AF126">
        <v>8</v>
      </c>
      <c r="AG126">
        <v>4.8</v>
      </c>
      <c r="AH126">
        <v>1.4</v>
      </c>
      <c r="AI126">
        <v>8.1999999999999993</v>
      </c>
      <c r="AJ126">
        <v>5.4</v>
      </c>
      <c r="AK126">
        <v>1.45</v>
      </c>
      <c r="AL126">
        <v>7.6</v>
      </c>
      <c r="AM126">
        <v>4.99</v>
      </c>
      <c r="AN126">
        <v>1.4</v>
      </c>
      <c r="AO126">
        <v>1</v>
      </c>
      <c r="AP126">
        <v>0.12234375</v>
      </c>
      <c r="AQ126">
        <v>0.18578124999999901</v>
      </c>
      <c r="AR126">
        <v>0.69187500000000002</v>
      </c>
      <c r="AS126">
        <v>1</v>
      </c>
      <c r="AT126">
        <v>3.2187500000000402E-3</v>
      </c>
      <c r="AU126">
        <v>0.85311874577495395</v>
      </c>
      <c r="AV126">
        <f t="shared" si="10"/>
        <v>12979.192812635109</v>
      </c>
      <c r="AW126">
        <f t="shared" si="11"/>
        <v>1587.9231206708266</v>
      </c>
      <c r="AX126">
        <f t="shared" si="12"/>
        <v>2411.2906647223658</v>
      </c>
      <c r="AY126">
        <f t="shared" si="13"/>
        <v>8979.9790272419159</v>
      </c>
      <c r="AZ126" cm="1">
        <f t="array" ref="AZ126">_xlfn.IFS(E126="H",AW126*AI126-AV126,E126="D",AX126*AJ126-AV126,E126="A",AY126*AK126-AV126)</f>
        <v>41.77677686566858</v>
      </c>
      <c r="BA126">
        <f t="shared" si="14"/>
        <v>1143.1805267049194</v>
      </c>
    </row>
    <row r="127" spans="1:53" x14ac:dyDescent="0.2">
      <c r="A127">
        <v>37</v>
      </c>
      <c r="B127" t="s">
        <v>202</v>
      </c>
      <c r="C127" s="1">
        <v>44041</v>
      </c>
      <c r="D127" t="s">
        <v>270</v>
      </c>
      <c r="E127" t="s">
        <v>49</v>
      </c>
      <c r="F127" t="s">
        <v>184</v>
      </c>
      <c r="G127" t="s">
        <v>131</v>
      </c>
      <c r="H127" t="s">
        <v>256</v>
      </c>
      <c r="I127" t="s">
        <v>110</v>
      </c>
      <c r="J127" t="s">
        <v>323</v>
      </c>
      <c r="K127" t="s">
        <v>54</v>
      </c>
      <c r="L127">
        <v>2020</v>
      </c>
      <c r="M127">
        <v>1.5</v>
      </c>
      <c r="N127">
        <v>1.25</v>
      </c>
      <c r="O127">
        <v>0</v>
      </c>
      <c r="P127">
        <v>1</v>
      </c>
      <c r="Q127">
        <v>1.1599999999999999</v>
      </c>
      <c r="R127">
        <v>7.5</v>
      </c>
      <c r="S127">
        <v>15</v>
      </c>
      <c r="T127">
        <v>1.19</v>
      </c>
      <c r="U127">
        <v>7</v>
      </c>
      <c r="V127">
        <v>13.5</v>
      </c>
      <c r="W127">
        <v>1.2</v>
      </c>
      <c r="X127">
        <v>7.25</v>
      </c>
      <c r="Y127">
        <v>13</v>
      </c>
      <c r="Z127">
        <v>1.18</v>
      </c>
      <c r="AA127">
        <v>7.81</v>
      </c>
      <c r="AB127">
        <v>16.62</v>
      </c>
      <c r="AC127">
        <v>1.17</v>
      </c>
      <c r="AD127">
        <v>7.5</v>
      </c>
      <c r="AE127">
        <v>17</v>
      </c>
      <c r="AF127">
        <v>1.1499999999999999</v>
      </c>
      <c r="AG127">
        <v>7.5</v>
      </c>
      <c r="AH127">
        <v>15</v>
      </c>
      <c r="AI127">
        <v>1.22</v>
      </c>
      <c r="AJ127">
        <v>8.25</v>
      </c>
      <c r="AK127">
        <v>17.25</v>
      </c>
      <c r="AL127">
        <v>1.18</v>
      </c>
      <c r="AM127">
        <v>7.47</v>
      </c>
      <c r="AN127">
        <v>14.04</v>
      </c>
      <c r="AO127">
        <v>1</v>
      </c>
      <c r="AP127">
        <v>0.82061151234701302</v>
      </c>
      <c r="AQ127">
        <v>0.12135103576525499</v>
      </c>
      <c r="AR127">
        <v>5.8037451887730802E-2</v>
      </c>
      <c r="AS127">
        <v>1</v>
      </c>
      <c r="AT127">
        <v>1.14604506335691E-3</v>
      </c>
      <c r="AU127">
        <v>0.85426479083831097</v>
      </c>
      <c r="AV127">
        <f t="shared" si="10"/>
        <v>14122.373339340029</v>
      </c>
      <c r="AW127">
        <f t="shared" si="11"/>
        <v>11588.982143924968</v>
      </c>
      <c r="AX127">
        <f t="shared" si="12"/>
        <v>1713.7646321925408</v>
      </c>
      <c r="AY127">
        <f t="shared" si="13"/>
        <v>819.62656322251951</v>
      </c>
      <c r="AZ127" cm="1">
        <f t="array" ref="AZ127">_xlfn.IFS(E127="H",AW127*AI127-AV127,E127="D",AX127*AJ127-AV127,E127="A",AY127*AK127-AV127)</f>
        <v>16.184876248431465</v>
      </c>
      <c r="BA127">
        <f t="shared" si="14"/>
        <v>1159.3654029533509</v>
      </c>
    </row>
    <row r="128" spans="1:53" x14ac:dyDescent="0.2">
      <c r="A128">
        <v>37</v>
      </c>
      <c r="B128" t="s">
        <v>202</v>
      </c>
      <c r="C128" s="1">
        <v>44041</v>
      </c>
      <c r="D128" t="s">
        <v>270</v>
      </c>
      <c r="E128" t="s">
        <v>74</v>
      </c>
      <c r="F128" t="s">
        <v>278</v>
      </c>
      <c r="G128" t="s">
        <v>243</v>
      </c>
      <c r="H128" t="s">
        <v>256</v>
      </c>
      <c r="I128" t="s">
        <v>275</v>
      </c>
      <c r="J128" t="s">
        <v>134</v>
      </c>
      <c r="K128" t="s">
        <v>54</v>
      </c>
      <c r="L128">
        <v>2020</v>
      </c>
      <c r="M128">
        <v>1.5</v>
      </c>
      <c r="N128">
        <v>2</v>
      </c>
      <c r="O128">
        <v>2</v>
      </c>
      <c r="P128">
        <v>2.25</v>
      </c>
      <c r="Q128">
        <v>4.75</v>
      </c>
      <c r="R128">
        <v>4</v>
      </c>
      <c r="S128">
        <v>1.66</v>
      </c>
      <c r="T128">
        <v>4.8</v>
      </c>
      <c r="U128">
        <v>3.9</v>
      </c>
      <c r="V128">
        <v>1.67</v>
      </c>
      <c r="W128">
        <v>4.8</v>
      </c>
      <c r="X128">
        <v>3.85</v>
      </c>
      <c r="Y128">
        <v>1.7</v>
      </c>
      <c r="Z128">
        <v>5.01</v>
      </c>
      <c r="AA128">
        <v>4.09</v>
      </c>
      <c r="AB128">
        <v>1.69</v>
      </c>
      <c r="AC128">
        <v>5</v>
      </c>
      <c r="AD128">
        <v>4</v>
      </c>
      <c r="AE128">
        <v>1.67</v>
      </c>
      <c r="AF128">
        <v>5</v>
      </c>
      <c r="AG128">
        <v>3.8</v>
      </c>
      <c r="AH128">
        <v>1.65</v>
      </c>
      <c r="AI128">
        <v>5.35</v>
      </c>
      <c r="AJ128">
        <v>4.2</v>
      </c>
      <c r="AK128">
        <v>1.74</v>
      </c>
      <c r="AL128">
        <v>4.8499999999999996</v>
      </c>
      <c r="AM128">
        <v>3.98</v>
      </c>
      <c r="AN128">
        <v>1.68</v>
      </c>
      <c r="AO128">
        <v>1</v>
      </c>
      <c r="AP128">
        <v>0.186967533962698</v>
      </c>
      <c r="AQ128">
        <v>0.238161025404866</v>
      </c>
      <c r="AR128">
        <v>0.574871440632435</v>
      </c>
      <c r="AS128">
        <v>1</v>
      </c>
      <c r="AT128" s="2">
        <v>2.7630670043765599E-4</v>
      </c>
      <c r="AU128">
        <v>0.85454109753874896</v>
      </c>
      <c r="AV128">
        <f t="shared" si="10"/>
        <v>15281.738742293379</v>
      </c>
      <c r="AW128">
        <f t="shared" si="11"/>
        <v>2857.1890073088239</v>
      </c>
      <c r="AX128">
        <f t="shared" si="12"/>
        <v>3639.5145688338589</v>
      </c>
      <c r="AY128">
        <f t="shared" si="13"/>
        <v>8785.0351661506957</v>
      </c>
      <c r="AZ128" cm="1">
        <f t="array" ref="AZ128">_xlfn.IFS(E128="H",AW128*AI128-AV128,E128="D",AX128*AJ128-AV128,E128="A",AY128*AK128-AV128)</f>
        <v>4.2224468088315916</v>
      </c>
      <c r="BA128">
        <f t="shared" si="14"/>
        <v>1163.5878497621825</v>
      </c>
    </row>
    <row r="129" spans="1:53" x14ac:dyDescent="0.2">
      <c r="A129">
        <v>38</v>
      </c>
      <c r="B129" t="s">
        <v>67</v>
      </c>
      <c r="C129" s="1">
        <v>44045</v>
      </c>
      <c r="D129" t="s">
        <v>107</v>
      </c>
      <c r="E129" t="s">
        <v>74</v>
      </c>
      <c r="F129" t="s">
        <v>122</v>
      </c>
      <c r="G129" t="s">
        <v>181</v>
      </c>
      <c r="H129" t="s">
        <v>256</v>
      </c>
      <c r="I129" t="s">
        <v>324</v>
      </c>
      <c r="J129" t="s">
        <v>325</v>
      </c>
      <c r="K129" t="s">
        <v>54</v>
      </c>
      <c r="L129">
        <v>2020</v>
      </c>
      <c r="M129">
        <v>0.25</v>
      </c>
      <c r="N129">
        <v>0.5</v>
      </c>
      <c r="O129">
        <v>1.75</v>
      </c>
      <c r="P129">
        <v>1.5</v>
      </c>
      <c r="Q129">
        <v>6.5</v>
      </c>
      <c r="R129">
        <v>4.75</v>
      </c>
      <c r="S129">
        <v>1.44</v>
      </c>
      <c r="T129">
        <v>6.25</v>
      </c>
      <c r="U129">
        <v>4.75</v>
      </c>
      <c r="V129">
        <v>1.45</v>
      </c>
      <c r="W129">
        <v>6.25</v>
      </c>
      <c r="X129">
        <v>4.7</v>
      </c>
      <c r="Y129">
        <v>1.47</v>
      </c>
      <c r="Z129">
        <v>6.48</v>
      </c>
      <c r="AA129">
        <v>4.93</v>
      </c>
      <c r="AB129">
        <v>1.47</v>
      </c>
      <c r="AC129">
        <v>6.5</v>
      </c>
      <c r="AD129">
        <v>4.8</v>
      </c>
      <c r="AE129">
        <v>1.44</v>
      </c>
      <c r="AF129">
        <v>7</v>
      </c>
      <c r="AG129">
        <v>4.75</v>
      </c>
      <c r="AH129">
        <v>1.4</v>
      </c>
      <c r="AI129">
        <v>7</v>
      </c>
      <c r="AJ129">
        <v>5.35</v>
      </c>
      <c r="AK129">
        <v>1.51</v>
      </c>
      <c r="AL129">
        <v>6.27</v>
      </c>
      <c r="AM129">
        <v>4.8499999999999996</v>
      </c>
      <c r="AN129">
        <v>1.46</v>
      </c>
      <c r="AO129">
        <v>1</v>
      </c>
      <c r="AP129">
        <v>0.144005632949187</v>
      </c>
      <c r="AQ129">
        <v>0.18841858516716101</v>
      </c>
      <c r="AR129">
        <v>0.66757578188365096</v>
      </c>
      <c r="AS129">
        <v>1</v>
      </c>
      <c r="AT129">
        <v>8.0394306443132193E-3</v>
      </c>
      <c r="AU129">
        <v>0.86258052818306197</v>
      </c>
      <c r="AV129">
        <f t="shared" si="10"/>
        <v>16445.32659205556</v>
      </c>
      <c r="AW129">
        <f t="shared" si="11"/>
        <v>2368.2196649450675</v>
      </c>
      <c r="AX129">
        <f t="shared" si="12"/>
        <v>3098.605169087004</v>
      </c>
      <c r="AY129">
        <f t="shared" si="13"/>
        <v>10978.501758023489</v>
      </c>
      <c r="AZ129" cm="1">
        <f t="array" ref="AZ129">_xlfn.IFS(E129="H",AW129*AI129-AV129,E129="D",AX129*AJ129-AV129,E129="A",AY129*AK129-AV129)</f>
        <v>132.2110625599089</v>
      </c>
      <c r="BA129">
        <f t="shared" si="14"/>
        <v>1295.7989123220914</v>
      </c>
    </row>
    <row r="130" spans="1:53" x14ac:dyDescent="0.2">
      <c r="A130">
        <v>1</v>
      </c>
      <c r="B130" t="s">
        <v>55</v>
      </c>
      <c r="C130" s="1">
        <v>44065</v>
      </c>
      <c r="D130" t="s">
        <v>68</v>
      </c>
      <c r="E130" t="s">
        <v>57</v>
      </c>
      <c r="F130" t="s">
        <v>326</v>
      </c>
      <c r="G130" t="s">
        <v>69</v>
      </c>
      <c r="H130">
        <v>3975</v>
      </c>
      <c r="I130" t="s">
        <v>327</v>
      </c>
      <c r="J130" t="s">
        <v>328</v>
      </c>
      <c r="K130" t="s">
        <v>54</v>
      </c>
      <c r="L130">
        <v>2020</v>
      </c>
      <c r="M130">
        <v>2.25</v>
      </c>
      <c r="N130">
        <v>1.5</v>
      </c>
      <c r="O130">
        <v>1</v>
      </c>
      <c r="P130">
        <v>0.75</v>
      </c>
      <c r="Q130">
        <v>2.2999999999999998</v>
      </c>
      <c r="R130">
        <v>3.2</v>
      </c>
      <c r="S130">
        <v>3.3</v>
      </c>
      <c r="T130">
        <v>2.2999999999999998</v>
      </c>
      <c r="U130">
        <v>3.2</v>
      </c>
      <c r="V130">
        <v>3.3</v>
      </c>
      <c r="W130">
        <v>2.2999999999999998</v>
      </c>
      <c r="X130">
        <v>3</v>
      </c>
      <c r="Y130">
        <v>3.35</v>
      </c>
      <c r="Z130">
        <v>2.2999999999999998</v>
      </c>
      <c r="AA130">
        <v>3.22</v>
      </c>
      <c r="AB130">
        <v>3.47</v>
      </c>
      <c r="AC130">
        <v>2.25</v>
      </c>
      <c r="AD130">
        <v>3.2</v>
      </c>
      <c r="AE130">
        <v>3.3</v>
      </c>
      <c r="AF130">
        <v>2.25</v>
      </c>
      <c r="AG130">
        <v>3.13</v>
      </c>
      <c r="AH130">
        <v>3.4</v>
      </c>
      <c r="AI130">
        <v>2.38</v>
      </c>
      <c r="AJ130">
        <v>3.34</v>
      </c>
      <c r="AK130">
        <v>3.6</v>
      </c>
      <c r="AL130">
        <v>2.27</v>
      </c>
      <c r="AM130">
        <v>3.18</v>
      </c>
      <c r="AN130">
        <v>3.36</v>
      </c>
      <c r="AO130">
        <v>1</v>
      </c>
      <c r="AP130">
        <v>0.42128572029206901</v>
      </c>
      <c r="AQ130">
        <v>0.300197609070396</v>
      </c>
      <c r="AR130">
        <v>0.27851667063753399</v>
      </c>
      <c r="AS130">
        <v>1</v>
      </c>
      <c r="AT130">
        <v>2.6600142951243E-3</v>
      </c>
      <c r="AU130">
        <v>0.86524054247818605</v>
      </c>
      <c r="AV130">
        <f t="shared" si="10"/>
        <v>17741.125504377651</v>
      </c>
      <c r="AW130">
        <f t="shared" si="11"/>
        <v>7474.0828369037354</v>
      </c>
      <c r="AX130">
        <f t="shared" si="12"/>
        <v>5325.8434586320027</v>
      </c>
      <c r="AY130">
        <f t="shared" si="13"/>
        <v>4941.1992088419138</v>
      </c>
      <c r="AZ130" cm="1">
        <f t="array" ref="AZ130">_xlfn.IFS(E130="H",AW130*AI130-AV130,E130="D",AX130*AJ130-AV130,E130="A",AY130*AK130-AV130)</f>
        <v>47.191647453237238</v>
      </c>
      <c r="BA130">
        <f t="shared" si="14"/>
        <v>1342.9905597753286</v>
      </c>
    </row>
    <row r="131" spans="1:53" x14ac:dyDescent="0.2">
      <c r="A131">
        <v>1</v>
      </c>
      <c r="B131" t="s">
        <v>67</v>
      </c>
      <c r="C131" s="1">
        <v>44066</v>
      </c>
      <c r="D131" t="s">
        <v>329</v>
      </c>
      <c r="E131" t="s">
        <v>57</v>
      </c>
      <c r="F131" t="s">
        <v>135</v>
      </c>
      <c r="G131" t="s">
        <v>216</v>
      </c>
      <c r="H131" t="s">
        <v>256</v>
      </c>
      <c r="I131" t="s">
        <v>136</v>
      </c>
      <c r="J131" t="s">
        <v>330</v>
      </c>
      <c r="K131" t="s">
        <v>54</v>
      </c>
      <c r="L131">
        <v>2020</v>
      </c>
      <c r="M131">
        <v>1.75</v>
      </c>
      <c r="N131">
        <v>1</v>
      </c>
      <c r="O131">
        <v>1.25</v>
      </c>
      <c r="P131">
        <v>1.5</v>
      </c>
      <c r="Q131">
        <v>1.9</v>
      </c>
      <c r="R131">
        <v>3.4</v>
      </c>
      <c r="S131">
        <v>4.33</v>
      </c>
      <c r="T131">
        <v>1.91</v>
      </c>
      <c r="U131">
        <v>3.5</v>
      </c>
      <c r="V131">
        <v>4.2</v>
      </c>
      <c r="W131">
        <v>1.95</v>
      </c>
      <c r="X131">
        <v>3.25</v>
      </c>
      <c r="Y131">
        <v>4.2</v>
      </c>
      <c r="Z131">
        <v>1.95</v>
      </c>
      <c r="AA131">
        <v>3.53</v>
      </c>
      <c r="AB131">
        <v>4.24</v>
      </c>
      <c r="AC131">
        <v>1.88</v>
      </c>
      <c r="AD131">
        <v>3.4</v>
      </c>
      <c r="AE131">
        <v>4.2</v>
      </c>
      <c r="AF131">
        <v>1.87</v>
      </c>
      <c r="AG131">
        <v>3.25</v>
      </c>
      <c r="AH131">
        <v>4.4000000000000004</v>
      </c>
      <c r="AI131">
        <v>2</v>
      </c>
      <c r="AJ131">
        <v>3.65</v>
      </c>
      <c r="AK131">
        <v>4.5</v>
      </c>
      <c r="AL131">
        <v>1.92</v>
      </c>
      <c r="AM131">
        <v>3.45</v>
      </c>
      <c r="AN131">
        <v>4.16</v>
      </c>
      <c r="AO131">
        <v>1</v>
      </c>
      <c r="AP131">
        <v>0.50190985485103101</v>
      </c>
      <c r="AQ131">
        <v>0.27501909854850998</v>
      </c>
      <c r="AR131">
        <v>0.22307104660045801</v>
      </c>
      <c r="AS131">
        <v>1</v>
      </c>
      <c r="AT131">
        <v>3.8197097020626898E-3</v>
      </c>
      <c r="AU131">
        <v>0.86906025218024896</v>
      </c>
      <c r="AV131">
        <f t="shared" si="10"/>
        <v>19084.116064152979</v>
      </c>
      <c r="AW131">
        <f t="shared" si="11"/>
        <v>9578.5059237192563</v>
      </c>
      <c r="AX131">
        <f t="shared" si="12"/>
        <v>5248.4963965584966</v>
      </c>
      <c r="AY131">
        <f t="shared" si="13"/>
        <v>4257.1137438752248</v>
      </c>
      <c r="AZ131" cm="1">
        <f t="array" ref="AZ131">_xlfn.IFS(E131="H",AW131*AI131-AV131,E131="D",AX131*AJ131-AV131,E131="A",AY131*AK131-AV131)</f>
        <v>72.89578328553398</v>
      </c>
      <c r="BA131">
        <f t="shared" si="14"/>
        <v>1415.8863430608626</v>
      </c>
    </row>
    <row r="132" spans="1:53" x14ac:dyDescent="0.2">
      <c r="A132">
        <v>2</v>
      </c>
      <c r="B132" t="s">
        <v>47</v>
      </c>
      <c r="C132" s="1">
        <v>44071</v>
      </c>
      <c r="D132" t="s">
        <v>68</v>
      </c>
      <c r="E132" t="s">
        <v>49</v>
      </c>
      <c r="F132" t="s">
        <v>50</v>
      </c>
      <c r="G132" t="s">
        <v>331</v>
      </c>
      <c r="H132" t="s">
        <v>256</v>
      </c>
      <c r="I132" t="s">
        <v>52</v>
      </c>
      <c r="J132" t="s">
        <v>53</v>
      </c>
      <c r="K132" t="s">
        <v>54</v>
      </c>
      <c r="L132">
        <v>2020</v>
      </c>
      <c r="M132">
        <v>2</v>
      </c>
      <c r="N132">
        <v>1.5</v>
      </c>
      <c r="O132">
        <v>0.25</v>
      </c>
      <c r="P132">
        <v>0.75</v>
      </c>
      <c r="Q132">
        <v>1.28</v>
      </c>
      <c r="R132">
        <v>5.75</v>
      </c>
      <c r="S132">
        <v>9</v>
      </c>
      <c r="T132">
        <v>1.3</v>
      </c>
      <c r="U132">
        <v>5.5</v>
      </c>
      <c r="V132">
        <v>10</v>
      </c>
      <c r="W132">
        <v>1.33</v>
      </c>
      <c r="X132">
        <v>5.25</v>
      </c>
      <c r="Y132">
        <v>10</v>
      </c>
      <c r="Z132">
        <v>1.31</v>
      </c>
      <c r="AA132">
        <v>5.68</v>
      </c>
      <c r="AB132">
        <v>10.210000000000001</v>
      </c>
      <c r="AC132">
        <v>1.27</v>
      </c>
      <c r="AD132">
        <v>5.5</v>
      </c>
      <c r="AE132">
        <v>11</v>
      </c>
      <c r="AF132">
        <v>1.29</v>
      </c>
      <c r="AG132">
        <v>5.25</v>
      </c>
      <c r="AH132">
        <v>11</v>
      </c>
      <c r="AI132">
        <v>1.35</v>
      </c>
      <c r="AJ132">
        <v>6.05</v>
      </c>
      <c r="AK132">
        <v>11.75</v>
      </c>
      <c r="AL132">
        <v>1.3</v>
      </c>
      <c r="AM132">
        <v>5.41</v>
      </c>
      <c r="AN132">
        <v>10.01</v>
      </c>
      <c r="AO132">
        <v>1</v>
      </c>
      <c r="AP132">
        <v>0.74736510105921605</v>
      </c>
      <c r="AQ132">
        <v>0.16676741924461799</v>
      </c>
      <c r="AR132">
        <v>8.5867479696165205E-2</v>
      </c>
      <c r="AS132">
        <v>1</v>
      </c>
      <c r="AT132">
        <v>8.9428864299421207E-3</v>
      </c>
      <c r="AU132">
        <v>0.87800313861019097</v>
      </c>
      <c r="AV132">
        <f t="shared" si="10"/>
        <v>20500.00240721384</v>
      </c>
      <c r="AW132">
        <f t="shared" si="11"/>
        <v>15320.986370781548</v>
      </c>
      <c r="AX132">
        <f t="shared" si="12"/>
        <v>3418.7324959595194</v>
      </c>
      <c r="AY132">
        <f t="shared" si="13"/>
        <v>1760.2835404727739</v>
      </c>
      <c r="AZ132" cm="1">
        <f t="array" ref="AZ132">_xlfn.IFS(E132="H",AW132*AI132-AV132,E132="D",AX132*AJ132-AV132,E132="A",AY132*AK132-AV132)</f>
        <v>183.32919334125108</v>
      </c>
      <c r="BA132">
        <f t="shared" si="14"/>
        <v>1599.2155364021137</v>
      </c>
    </row>
    <row r="133" spans="1:53" x14ac:dyDescent="0.2">
      <c r="A133">
        <v>1</v>
      </c>
      <c r="B133" t="s">
        <v>55</v>
      </c>
      <c r="C133" s="1">
        <v>44086</v>
      </c>
      <c r="D133" t="s">
        <v>90</v>
      </c>
      <c r="E133" t="s">
        <v>49</v>
      </c>
      <c r="F133" t="s">
        <v>281</v>
      </c>
      <c r="G133" t="s">
        <v>152</v>
      </c>
      <c r="H133" t="s">
        <v>256</v>
      </c>
      <c r="I133" t="s">
        <v>282</v>
      </c>
      <c r="J133" t="s">
        <v>332</v>
      </c>
      <c r="K133" t="s">
        <v>54</v>
      </c>
      <c r="L133">
        <v>2020</v>
      </c>
      <c r="M133">
        <v>0.25</v>
      </c>
      <c r="N133">
        <v>0.75</v>
      </c>
      <c r="O133">
        <v>2</v>
      </c>
      <c r="P133">
        <v>2</v>
      </c>
      <c r="Q133">
        <v>3.1</v>
      </c>
      <c r="R133">
        <v>3.25</v>
      </c>
      <c r="S133">
        <v>2.37</v>
      </c>
      <c r="T133">
        <v>3</v>
      </c>
      <c r="U133">
        <v>3.2</v>
      </c>
      <c r="V133">
        <v>2.4500000000000002</v>
      </c>
      <c r="W133">
        <v>3.15</v>
      </c>
      <c r="X133">
        <v>2.95</v>
      </c>
      <c r="Y133">
        <v>2.4</v>
      </c>
      <c r="Z133">
        <v>3.32</v>
      </c>
      <c r="AA133">
        <v>3.29</v>
      </c>
      <c r="AB133">
        <v>2.4</v>
      </c>
      <c r="AC133">
        <v>3.2</v>
      </c>
      <c r="AD133">
        <v>3.2</v>
      </c>
      <c r="AE133">
        <v>2.35</v>
      </c>
      <c r="AF133">
        <v>3.2</v>
      </c>
      <c r="AG133">
        <v>3.2</v>
      </c>
      <c r="AH133">
        <v>2.4</v>
      </c>
      <c r="AI133">
        <v>3.36</v>
      </c>
      <c r="AJ133">
        <v>3.36</v>
      </c>
      <c r="AK133">
        <v>2.5</v>
      </c>
      <c r="AL133">
        <v>3.18</v>
      </c>
      <c r="AM133">
        <v>3.22</v>
      </c>
      <c r="AN133">
        <v>2.39</v>
      </c>
      <c r="AO133">
        <v>1</v>
      </c>
      <c r="AP133">
        <v>0.299043062200956</v>
      </c>
      <c r="AQ133">
        <v>0.299043062200956</v>
      </c>
      <c r="AR133">
        <v>0.401913875598086</v>
      </c>
      <c r="AS133">
        <v>1</v>
      </c>
      <c r="AT133">
        <v>4.7846889952152197E-3</v>
      </c>
      <c r="AU133">
        <v>0.88278782760540597</v>
      </c>
      <c r="AV133">
        <f t="shared" si="10"/>
        <v>22099.217943615953</v>
      </c>
      <c r="AW133">
        <f t="shared" si="11"/>
        <v>6608.6178061052497</v>
      </c>
      <c r="AX133">
        <f t="shared" si="12"/>
        <v>6608.6178061052497</v>
      </c>
      <c r="AY133">
        <f t="shared" si="13"/>
        <v>8881.9823314054538</v>
      </c>
      <c r="AZ133" cm="1">
        <f t="array" ref="AZ133">_xlfn.IFS(E133="H",AW133*AI133-AV133,E133="D",AX133*AJ133-AV133,E133="A",AY133*AK133-AV133)</f>
        <v>105.73788489768413</v>
      </c>
      <c r="BA133">
        <f t="shared" si="14"/>
        <v>1704.9534212997978</v>
      </c>
    </row>
    <row r="134" spans="1:53" x14ac:dyDescent="0.2">
      <c r="A134">
        <v>1</v>
      </c>
      <c r="B134" t="s">
        <v>55</v>
      </c>
      <c r="C134" s="1">
        <v>44086</v>
      </c>
      <c r="D134" t="s">
        <v>151</v>
      </c>
      <c r="E134" t="s">
        <v>74</v>
      </c>
      <c r="F134" t="s">
        <v>126</v>
      </c>
      <c r="G134" t="s">
        <v>248</v>
      </c>
      <c r="H134" t="s">
        <v>256</v>
      </c>
      <c r="I134" t="s">
        <v>128</v>
      </c>
      <c r="J134" t="s">
        <v>94</v>
      </c>
      <c r="K134" t="s">
        <v>54</v>
      </c>
      <c r="L134">
        <v>2020</v>
      </c>
      <c r="M134">
        <v>1.75</v>
      </c>
      <c r="N134">
        <v>1.75</v>
      </c>
      <c r="O134">
        <v>1</v>
      </c>
      <c r="P134">
        <v>1.25</v>
      </c>
      <c r="Q134">
        <v>2.15</v>
      </c>
      <c r="R134">
        <v>3.4</v>
      </c>
      <c r="S134">
        <v>3.4</v>
      </c>
      <c r="T134">
        <v>2.15</v>
      </c>
      <c r="U134">
        <v>3.4</v>
      </c>
      <c r="V134">
        <v>3.4</v>
      </c>
      <c r="W134">
        <v>2.15</v>
      </c>
      <c r="X134">
        <v>3.15</v>
      </c>
      <c r="Y134">
        <v>3.4</v>
      </c>
      <c r="Z134">
        <v>2.1800000000000002</v>
      </c>
      <c r="AA134">
        <v>3.61</v>
      </c>
      <c r="AB134">
        <v>3.5</v>
      </c>
      <c r="AC134">
        <v>2.15</v>
      </c>
      <c r="AD134">
        <v>3.5</v>
      </c>
      <c r="AE134">
        <v>3.4</v>
      </c>
      <c r="AF134">
        <v>2.15</v>
      </c>
      <c r="AG134">
        <v>3.4</v>
      </c>
      <c r="AH134">
        <v>3.6</v>
      </c>
      <c r="AI134">
        <v>2.2400000000000002</v>
      </c>
      <c r="AJ134">
        <v>3.7</v>
      </c>
      <c r="AK134">
        <v>3.6</v>
      </c>
      <c r="AL134">
        <v>2.15</v>
      </c>
      <c r="AM134">
        <v>3.48</v>
      </c>
      <c r="AN134">
        <v>3.42</v>
      </c>
      <c r="AO134">
        <v>1</v>
      </c>
      <c r="AP134">
        <v>0.448908061472094</v>
      </c>
      <c r="AQ134">
        <v>0.27177136694526799</v>
      </c>
      <c r="AR134">
        <v>0.27932057158263601</v>
      </c>
      <c r="AS134">
        <v>1</v>
      </c>
      <c r="AT134">
        <v>5.5540576974926203E-3</v>
      </c>
      <c r="AU134">
        <v>0.88834188530289904</v>
      </c>
      <c r="AV134">
        <f t="shared" si="10"/>
        <v>23804.17136491575</v>
      </c>
      <c r="AW134">
        <f t="shared" si="11"/>
        <v>10685.88442237388</v>
      </c>
      <c r="AX134">
        <f t="shared" si="12"/>
        <v>6469.292190842566</v>
      </c>
      <c r="AY134">
        <f t="shared" si="13"/>
        <v>6648.9947516993043</v>
      </c>
      <c r="AZ134" cm="1">
        <f t="array" ref="AZ134">_xlfn.IFS(E134="H",AW134*AI134-AV134,E134="D",AX134*AJ134-AV134,E134="A",AY134*AK134-AV134)</f>
        <v>132.20974120174651</v>
      </c>
      <c r="BA134">
        <f t="shared" si="14"/>
        <v>1837.1631625015443</v>
      </c>
    </row>
    <row r="135" spans="1:53" x14ac:dyDescent="0.2">
      <c r="A135">
        <v>1</v>
      </c>
      <c r="B135" t="s">
        <v>202</v>
      </c>
      <c r="C135" s="1">
        <v>44090</v>
      </c>
      <c r="D135" t="s">
        <v>68</v>
      </c>
      <c r="E135" t="s">
        <v>49</v>
      </c>
      <c r="F135" t="s">
        <v>70</v>
      </c>
      <c r="G135" t="s">
        <v>79</v>
      </c>
      <c r="H135" t="s">
        <v>256</v>
      </c>
      <c r="I135" t="s">
        <v>333</v>
      </c>
      <c r="J135" t="s">
        <v>137</v>
      </c>
      <c r="K135" t="s">
        <v>54</v>
      </c>
      <c r="L135">
        <v>2020</v>
      </c>
      <c r="M135">
        <v>2.25</v>
      </c>
      <c r="N135">
        <v>3</v>
      </c>
      <c r="O135">
        <v>1.25</v>
      </c>
      <c r="P135">
        <v>0.5</v>
      </c>
      <c r="Q135">
        <v>1.25</v>
      </c>
      <c r="R135">
        <v>7</v>
      </c>
      <c r="S135">
        <v>9</v>
      </c>
      <c r="T135">
        <v>1.28</v>
      </c>
      <c r="U135">
        <v>6.75</v>
      </c>
      <c r="V135">
        <v>8.5</v>
      </c>
      <c r="W135">
        <v>1.3</v>
      </c>
      <c r="X135">
        <v>6</v>
      </c>
      <c r="Y135">
        <v>9</v>
      </c>
      <c r="Z135">
        <v>1.27</v>
      </c>
      <c r="AA135">
        <v>6.31</v>
      </c>
      <c r="AB135">
        <v>8.34</v>
      </c>
      <c r="AC135">
        <v>1.07</v>
      </c>
      <c r="AD135">
        <v>11</v>
      </c>
      <c r="AE135">
        <v>29</v>
      </c>
      <c r="AF135">
        <v>1.25</v>
      </c>
      <c r="AG135">
        <v>5.75</v>
      </c>
      <c r="AH135">
        <v>11.5</v>
      </c>
      <c r="AI135">
        <v>1.3</v>
      </c>
      <c r="AJ135">
        <v>7</v>
      </c>
      <c r="AK135">
        <v>11.75</v>
      </c>
      <c r="AL135">
        <v>1.26</v>
      </c>
      <c r="AM135">
        <v>6.33</v>
      </c>
      <c r="AN135">
        <v>9.36</v>
      </c>
      <c r="AO135">
        <v>1</v>
      </c>
      <c r="AP135">
        <v>0.77139507620164105</v>
      </c>
      <c r="AQ135">
        <v>0.14325908558030401</v>
      </c>
      <c r="AR135">
        <v>8.5345838218053902E-2</v>
      </c>
      <c r="AS135">
        <v>1</v>
      </c>
      <c r="AT135">
        <v>2.8135990621336298E-3</v>
      </c>
      <c r="AU135">
        <v>0.891155484365033</v>
      </c>
      <c r="AV135">
        <f t="shared" si="10"/>
        <v>25641.334527417293</v>
      </c>
      <c r="AW135">
        <f t="shared" si="11"/>
        <v>19779.599201688838</v>
      </c>
      <c r="AX135">
        <f t="shared" si="12"/>
        <v>3673.3541374564988</v>
      </c>
      <c r="AY135">
        <f t="shared" si="13"/>
        <v>2188.3811882719565</v>
      </c>
      <c r="AZ135" cm="1">
        <f t="array" ref="AZ135">_xlfn.IFS(E135="H",AW135*AI135-AV135,E135="D",AX135*AJ135-AV135,E135="A",AY135*AK135-AV135)</f>
        <v>72.144434778198047</v>
      </c>
      <c r="BA135">
        <f t="shared" si="14"/>
        <v>1909.3075972797424</v>
      </c>
    </row>
    <row r="136" spans="1:53" x14ac:dyDescent="0.2">
      <c r="A136">
        <v>1</v>
      </c>
      <c r="B136" t="s">
        <v>229</v>
      </c>
      <c r="C136" s="1">
        <v>44091</v>
      </c>
      <c r="D136" t="s">
        <v>68</v>
      </c>
      <c r="E136" t="s">
        <v>74</v>
      </c>
      <c r="F136" t="s">
        <v>59</v>
      </c>
      <c r="G136" t="s">
        <v>217</v>
      </c>
      <c r="H136" t="s">
        <v>256</v>
      </c>
      <c r="I136" t="s">
        <v>334</v>
      </c>
      <c r="J136" t="s">
        <v>85</v>
      </c>
      <c r="K136" t="s">
        <v>54</v>
      </c>
      <c r="L136">
        <v>2020</v>
      </c>
      <c r="M136">
        <v>1.25</v>
      </c>
      <c r="N136">
        <v>1</v>
      </c>
      <c r="O136">
        <v>0</v>
      </c>
      <c r="P136">
        <v>0.75</v>
      </c>
      <c r="Q136">
        <v>2</v>
      </c>
      <c r="R136">
        <v>3.3</v>
      </c>
      <c r="S136">
        <v>4</v>
      </c>
      <c r="T136">
        <v>1.95</v>
      </c>
      <c r="U136">
        <v>3.4</v>
      </c>
      <c r="V136">
        <v>4.0999999999999996</v>
      </c>
      <c r="W136">
        <v>2.0499999999999998</v>
      </c>
      <c r="X136">
        <v>3.1</v>
      </c>
      <c r="Y136">
        <v>3.9</v>
      </c>
      <c r="Z136">
        <v>2.04</v>
      </c>
      <c r="AA136">
        <v>3.42</v>
      </c>
      <c r="AB136">
        <v>4.0199999999999996</v>
      </c>
      <c r="AC136">
        <v>2</v>
      </c>
      <c r="AD136">
        <v>3.2</v>
      </c>
      <c r="AE136">
        <v>4</v>
      </c>
      <c r="AF136">
        <v>2</v>
      </c>
      <c r="AG136">
        <v>3.25</v>
      </c>
      <c r="AH136">
        <v>3.8</v>
      </c>
      <c r="AI136">
        <v>2.09</v>
      </c>
      <c r="AJ136">
        <v>3.5</v>
      </c>
      <c r="AK136">
        <v>4.33</v>
      </c>
      <c r="AL136">
        <v>2.0099999999999998</v>
      </c>
      <c r="AM136">
        <v>3.33</v>
      </c>
      <c r="AN136">
        <v>3.95</v>
      </c>
      <c r="AO136">
        <v>1</v>
      </c>
      <c r="AP136">
        <v>0.48081041380469902</v>
      </c>
      <c r="AQ136">
        <v>0.28711250424337798</v>
      </c>
      <c r="AR136">
        <v>0.232077081951922</v>
      </c>
      <c r="AS136">
        <v>1</v>
      </c>
      <c r="AT136">
        <v>4.8937648518227999E-3</v>
      </c>
      <c r="AU136">
        <v>0.89604924921685503</v>
      </c>
      <c r="AV136">
        <f t="shared" si="10"/>
        <v>27550.642124697035</v>
      </c>
      <c r="AW136">
        <f t="shared" si="11"/>
        <v>13246.635640560778</v>
      </c>
      <c r="AX136">
        <f t="shared" si="12"/>
        <v>7910.1338539348644</v>
      </c>
      <c r="AY136">
        <f t="shared" si="13"/>
        <v>6393.872630201392</v>
      </c>
      <c r="AZ136" cm="1">
        <f t="array" ref="AZ136">_xlfn.IFS(E136="H",AW136*AI136-AV136,E136="D",AX136*AJ136-AV136,E136="A",AY136*AK136-AV136)</f>
        <v>134.82636407499376</v>
      </c>
      <c r="BA136">
        <f t="shared" si="14"/>
        <v>2044.1339613547361</v>
      </c>
    </row>
    <row r="137" spans="1:53" x14ac:dyDescent="0.2">
      <c r="A137">
        <v>1</v>
      </c>
      <c r="B137" t="s">
        <v>55</v>
      </c>
      <c r="C137" s="1">
        <v>44093</v>
      </c>
      <c r="D137" t="s">
        <v>73</v>
      </c>
      <c r="E137" t="s">
        <v>74</v>
      </c>
      <c r="F137" t="s">
        <v>223</v>
      </c>
      <c r="G137" t="s">
        <v>138</v>
      </c>
      <c r="H137" t="s">
        <v>256</v>
      </c>
      <c r="I137" t="s">
        <v>224</v>
      </c>
      <c r="J137" t="s">
        <v>335</v>
      </c>
      <c r="K137" t="s">
        <v>54</v>
      </c>
      <c r="L137">
        <v>2020</v>
      </c>
      <c r="M137">
        <v>0.5</v>
      </c>
      <c r="N137">
        <v>1.5</v>
      </c>
      <c r="O137">
        <v>2.5</v>
      </c>
      <c r="P137">
        <v>2.5</v>
      </c>
      <c r="Q137">
        <v>2.6</v>
      </c>
      <c r="R137">
        <v>3.5</v>
      </c>
      <c r="S137">
        <v>2.6</v>
      </c>
      <c r="T137">
        <v>2.5499999999999998</v>
      </c>
      <c r="U137">
        <v>3.6</v>
      </c>
      <c r="V137">
        <v>2.65</v>
      </c>
      <c r="W137">
        <v>2.6</v>
      </c>
      <c r="X137">
        <v>3.55</v>
      </c>
      <c r="Y137">
        <v>2.6</v>
      </c>
      <c r="Z137">
        <v>2.62</v>
      </c>
      <c r="AA137">
        <v>3.67</v>
      </c>
      <c r="AB137">
        <v>2.63</v>
      </c>
      <c r="AC137">
        <v>2.5499999999999998</v>
      </c>
      <c r="AD137">
        <v>3.6</v>
      </c>
      <c r="AE137">
        <v>2.5499999999999998</v>
      </c>
      <c r="AF137">
        <v>2.6</v>
      </c>
      <c r="AG137">
        <v>3.6</v>
      </c>
      <c r="AH137">
        <v>2.63</v>
      </c>
      <c r="AI137">
        <v>2.7</v>
      </c>
      <c r="AJ137">
        <v>3.88</v>
      </c>
      <c r="AK137">
        <v>2.69</v>
      </c>
      <c r="AL137">
        <v>2.6</v>
      </c>
      <c r="AM137">
        <v>3.6</v>
      </c>
      <c r="AN137">
        <v>2.59</v>
      </c>
      <c r="AO137">
        <v>1</v>
      </c>
      <c r="AP137">
        <v>0.37042610430079198</v>
      </c>
      <c r="AQ137">
        <v>0.257770742683541</v>
      </c>
      <c r="AR137">
        <v>0.37180315301566502</v>
      </c>
      <c r="AS137">
        <v>1</v>
      </c>
      <c r="AT137" s="2">
        <v>1.5048161214070699E-4</v>
      </c>
      <c r="AU137">
        <v>0.89619973082899596</v>
      </c>
      <c r="AV137">
        <f t="shared" si="10"/>
        <v>29594.77608605177</v>
      </c>
      <c r="AW137">
        <f t="shared" si="11"/>
        <v>10962.677613210422</v>
      </c>
      <c r="AX137">
        <f t="shared" si="12"/>
        <v>7628.6674112546771</v>
      </c>
      <c r="AY137">
        <f t="shared" si="13"/>
        <v>11003.431061586671</v>
      </c>
      <c r="AZ137" cm="1">
        <f t="array" ref="AZ137">_xlfn.IFS(E137="H",AW137*AI137-AV137,E137="D",AX137*AJ137-AV137,E137="A",AY137*AK137-AV137)</f>
        <v>4.4534696163718763</v>
      </c>
      <c r="BA137">
        <f t="shared" si="14"/>
        <v>2048.587430971108</v>
      </c>
    </row>
    <row r="138" spans="1:53" x14ac:dyDescent="0.2">
      <c r="A138">
        <v>1</v>
      </c>
      <c r="B138" t="s">
        <v>55</v>
      </c>
      <c r="C138" s="1">
        <v>44093</v>
      </c>
      <c r="D138" t="s">
        <v>73</v>
      </c>
      <c r="E138" t="s">
        <v>74</v>
      </c>
      <c r="F138" t="s">
        <v>171</v>
      </c>
      <c r="G138" t="s">
        <v>117</v>
      </c>
      <c r="H138">
        <v>8400</v>
      </c>
      <c r="I138" t="s">
        <v>173</v>
      </c>
      <c r="J138" t="s">
        <v>336</v>
      </c>
      <c r="K138" t="s">
        <v>54</v>
      </c>
      <c r="L138">
        <v>2020</v>
      </c>
      <c r="M138">
        <v>0.75</v>
      </c>
      <c r="N138">
        <v>1.5</v>
      </c>
      <c r="O138">
        <v>0.25</v>
      </c>
      <c r="P138">
        <v>1</v>
      </c>
      <c r="Q138">
        <v>2.6</v>
      </c>
      <c r="R138">
        <v>3.5</v>
      </c>
      <c r="S138">
        <v>2.62</v>
      </c>
      <c r="T138">
        <v>2.65</v>
      </c>
      <c r="U138">
        <v>3.5</v>
      </c>
      <c r="V138">
        <v>2.6</v>
      </c>
      <c r="W138">
        <v>2.65</v>
      </c>
      <c r="X138">
        <v>3.4</v>
      </c>
      <c r="Y138">
        <v>2.65</v>
      </c>
      <c r="Z138">
        <v>2.64</v>
      </c>
      <c r="AA138">
        <v>3.5</v>
      </c>
      <c r="AB138">
        <v>2.72</v>
      </c>
      <c r="AC138">
        <v>2.5499999999999998</v>
      </c>
      <c r="AD138">
        <v>3.5</v>
      </c>
      <c r="AE138">
        <v>2.6</v>
      </c>
      <c r="AF138">
        <v>2.6</v>
      </c>
      <c r="AG138">
        <v>3.5</v>
      </c>
      <c r="AH138">
        <v>2.7</v>
      </c>
      <c r="AI138">
        <v>2.72</v>
      </c>
      <c r="AJ138">
        <v>3.75</v>
      </c>
      <c r="AK138">
        <v>2.75</v>
      </c>
      <c r="AL138">
        <v>2.62</v>
      </c>
      <c r="AM138">
        <v>3.48</v>
      </c>
      <c r="AN138">
        <v>2.64</v>
      </c>
      <c r="AO138">
        <v>1</v>
      </c>
      <c r="AP138">
        <v>0.36840225060283999</v>
      </c>
      <c r="AQ138">
        <v>0.26721443243726001</v>
      </c>
      <c r="AR138">
        <v>0.36438331695990001</v>
      </c>
      <c r="AS138">
        <v>1</v>
      </c>
      <c r="AT138">
        <v>2.05412163972495E-3</v>
      </c>
      <c r="AU138">
        <v>0.89825385246872103</v>
      </c>
      <c r="AV138">
        <f t="shared" ref="AV138:AV201" si="15">AV137+BA137</f>
        <v>31643.363517022877</v>
      </c>
      <c r="AW138">
        <f t="shared" ref="AW138:AW201" si="16">AV138/(1+AI138/AJ138+AI138/AK138)</f>
        <v>11657.486336315027</v>
      </c>
      <c r="AX138">
        <f t="shared" ref="AX138:AX201" si="17">AV138/(1+AJ138/AI138+AJ138/AK138)</f>
        <v>8455.563422607167</v>
      </c>
      <c r="AY138">
        <f t="shared" ref="AY138:AY201" si="18">AV138/(1+AK138/AI138+AK138/AJ138)</f>
        <v>11530.313758100683</v>
      </c>
      <c r="AZ138" cm="1">
        <f t="array" ref="AZ138">_xlfn.IFS(E138="H",AW138*AI138-AV138,E138="D",AX138*AJ138-AV138,E138="A",AY138*AK138-AV138)</f>
        <v>64.999317754001822</v>
      </c>
      <c r="BA138">
        <f t="shared" ref="BA138:BA201" si="19">AZ138+BA137</f>
        <v>2113.5867487251098</v>
      </c>
    </row>
    <row r="139" spans="1:53" x14ac:dyDescent="0.2">
      <c r="A139">
        <v>4</v>
      </c>
      <c r="B139" t="s">
        <v>55</v>
      </c>
      <c r="C139" s="1">
        <v>44093</v>
      </c>
      <c r="D139" t="s">
        <v>82</v>
      </c>
      <c r="E139" t="s">
        <v>49</v>
      </c>
      <c r="F139" t="s">
        <v>337</v>
      </c>
      <c r="G139" t="s">
        <v>63</v>
      </c>
      <c r="H139" t="s">
        <v>256</v>
      </c>
      <c r="I139" t="s">
        <v>338</v>
      </c>
      <c r="J139" t="s">
        <v>53</v>
      </c>
      <c r="K139" t="s">
        <v>54</v>
      </c>
      <c r="L139">
        <v>2020</v>
      </c>
      <c r="M139">
        <v>3</v>
      </c>
      <c r="N139">
        <v>1</v>
      </c>
      <c r="O139">
        <v>1.75</v>
      </c>
      <c r="P139">
        <v>2</v>
      </c>
      <c r="Q139">
        <v>2.2999999999999998</v>
      </c>
      <c r="R139">
        <v>3.1</v>
      </c>
      <c r="S139">
        <v>3.4</v>
      </c>
      <c r="T139">
        <v>2.2999999999999998</v>
      </c>
      <c r="U139">
        <v>3.1</v>
      </c>
      <c r="V139">
        <v>3.4</v>
      </c>
      <c r="W139">
        <v>2.4</v>
      </c>
      <c r="X139">
        <v>2.9</v>
      </c>
      <c r="Y139">
        <v>3.35</v>
      </c>
      <c r="Z139">
        <v>2.39</v>
      </c>
      <c r="AA139">
        <v>3.09</v>
      </c>
      <c r="AB139">
        <v>3.43</v>
      </c>
      <c r="AC139">
        <v>2.2999999999999998</v>
      </c>
      <c r="AD139">
        <v>3.1</v>
      </c>
      <c r="AE139">
        <v>3.3</v>
      </c>
      <c r="AF139">
        <v>2.2999999999999998</v>
      </c>
      <c r="AG139">
        <v>3.1</v>
      </c>
      <c r="AH139">
        <v>3.3</v>
      </c>
      <c r="AI139">
        <v>2.4500000000000002</v>
      </c>
      <c r="AJ139">
        <v>3.25</v>
      </c>
      <c r="AK139">
        <v>3.55</v>
      </c>
      <c r="AL139">
        <v>2.36</v>
      </c>
      <c r="AM139">
        <v>3.07</v>
      </c>
      <c r="AN139">
        <v>3.32</v>
      </c>
      <c r="AO139">
        <v>1</v>
      </c>
      <c r="AP139">
        <v>0.40916747938647002</v>
      </c>
      <c r="AQ139">
        <v>0.30844933061441598</v>
      </c>
      <c r="AR139">
        <v>0.28238318999911299</v>
      </c>
      <c r="AS139">
        <v>1</v>
      </c>
      <c r="AT139">
        <v>2.4603244968526201E-3</v>
      </c>
      <c r="AU139">
        <v>0.90071417696557399</v>
      </c>
      <c r="AV139">
        <f t="shared" si="15"/>
        <v>33756.95026574799</v>
      </c>
      <c r="AW139">
        <f t="shared" si="16"/>
        <v>13812.246252010549</v>
      </c>
      <c r="AX139">
        <f t="shared" si="17"/>
        <v>10412.308713054106</v>
      </c>
      <c r="AY139">
        <f t="shared" si="18"/>
        <v>9532.3953006833362</v>
      </c>
      <c r="AZ139" cm="1">
        <f t="array" ref="AZ139">_xlfn.IFS(E139="H",AW139*AI139-AV139,E139="D",AX139*AJ139-AV139,E139="A",AY139*AK139-AV139)</f>
        <v>83.053051677859912</v>
      </c>
      <c r="BA139">
        <f t="shared" si="19"/>
        <v>2196.6398004029697</v>
      </c>
    </row>
    <row r="140" spans="1:53" x14ac:dyDescent="0.2">
      <c r="A140">
        <v>2</v>
      </c>
      <c r="B140" t="s">
        <v>55</v>
      </c>
      <c r="C140" s="1">
        <v>44100</v>
      </c>
      <c r="D140" t="s">
        <v>73</v>
      </c>
      <c r="E140" t="s">
        <v>57</v>
      </c>
      <c r="F140" t="s">
        <v>192</v>
      </c>
      <c r="G140" t="s">
        <v>204</v>
      </c>
      <c r="H140">
        <v>6042</v>
      </c>
      <c r="I140" t="s">
        <v>339</v>
      </c>
      <c r="J140" t="s">
        <v>140</v>
      </c>
      <c r="K140" t="s">
        <v>54</v>
      </c>
      <c r="L140">
        <v>2020</v>
      </c>
      <c r="M140">
        <v>1.5</v>
      </c>
      <c r="N140">
        <v>1.75</v>
      </c>
      <c r="O140">
        <v>3</v>
      </c>
      <c r="P140">
        <v>3.25</v>
      </c>
      <c r="Q140">
        <v>3</v>
      </c>
      <c r="R140">
        <v>3.5</v>
      </c>
      <c r="S140">
        <v>2.2999999999999998</v>
      </c>
      <c r="T140">
        <v>3</v>
      </c>
      <c r="U140">
        <v>3.5</v>
      </c>
      <c r="V140">
        <v>2.2999999999999998</v>
      </c>
      <c r="W140">
        <v>3.05</v>
      </c>
      <c r="X140">
        <v>3.45</v>
      </c>
      <c r="Y140">
        <v>2.25</v>
      </c>
      <c r="Z140">
        <v>3.18</v>
      </c>
      <c r="AA140">
        <v>3.79</v>
      </c>
      <c r="AB140">
        <v>2.25</v>
      </c>
      <c r="AC140">
        <v>3</v>
      </c>
      <c r="AD140">
        <v>3.5</v>
      </c>
      <c r="AE140">
        <v>2.25</v>
      </c>
      <c r="AF140">
        <v>2.9</v>
      </c>
      <c r="AG140">
        <v>3.75</v>
      </c>
      <c r="AH140">
        <v>2.25</v>
      </c>
      <c r="AI140">
        <v>3.18</v>
      </c>
      <c r="AJ140">
        <v>3.81</v>
      </c>
      <c r="AK140">
        <v>2.38</v>
      </c>
      <c r="AL140">
        <v>3.03</v>
      </c>
      <c r="AM140">
        <v>3.65</v>
      </c>
      <c r="AN140">
        <v>2.25</v>
      </c>
      <c r="AO140">
        <v>1</v>
      </c>
      <c r="AP140">
        <v>0.31537979966611002</v>
      </c>
      <c r="AQ140">
        <v>0.26323038397328802</v>
      </c>
      <c r="AR140">
        <v>0.42138981636060002</v>
      </c>
      <c r="AS140">
        <v>1</v>
      </c>
      <c r="AT140">
        <v>2.9077629382303601E-3</v>
      </c>
      <c r="AU140">
        <v>0.90362193990380402</v>
      </c>
      <c r="AV140">
        <f t="shared" si="15"/>
        <v>35953.590066150959</v>
      </c>
      <c r="AW140">
        <f t="shared" si="16"/>
        <v>11339.036032340138</v>
      </c>
      <c r="AX140">
        <f t="shared" si="17"/>
        <v>9464.0773183311394</v>
      </c>
      <c r="AY140">
        <f t="shared" si="18"/>
        <v>15150.476715479681</v>
      </c>
      <c r="AZ140" cm="1">
        <f t="array" ref="AZ140">_xlfn.IFS(E140="H",AW140*AI140-AV140,E140="D",AX140*AJ140-AV140,E140="A",AY140*AK140-AV140)</f>
        <v>104.54451669068658</v>
      </c>
      <c r="BA140">
        <f t="shared" si="19"/>
        <v>2301.1843170936563</v>
      </c>
    </row>
    <row r="141" spans="1:53" x14ac:dyDescent="0.2">
      <c r="A141">
        <v>5</v>
      </c>
      <c r="B141" t="s">
        <v>67</v>
      </c>
      <c r="C141" s="1">
        <v>44101</v>
      </c>
      <c r="D141" t="s">
        <v>82</v>
      </c>
      <c r="E141" t="s">
        <v>57</v>
      </c>
      <c r="F141" t="s">
        <v>340</v>
      </c>
      <c r="G141" t="s">
        <v>50</v>
      </c>
      <c r="H141" t="s">
        <v>256</v>
      </c>
      <c r="I141" t="s">
        <v>341</v>
      </c>
      <c r="J141" t="s">
        <v>328</v>
      </c>
      <c r="K141" t="s">
        <v>54</v>
      </c>
      <c r="L141">
        <v>2020</v>
      </c>
      <c r="M141">
        <v>1.5</v>
      </c>
      <c r="N141">
        <v>2.5</v>
      </c>
      <c r="O141">
        <v>1</v>
      </c>
      <c r="P141">
        <v>0.75</v>
      </c>
      <c r="Q141">
        <v>5.75</v>
      </c>
      <c r="R141">
        <v>4.2</v>
      </c>
      <c r="S141">
        <v>1.57</v>
      </c>
      <c r="T141">
        <v>5.5</v>
      </c>
      <c r="U141">
        <v>4.0999999999999996</v>
      </c>
      <c r="V141">
        <v>1.6</v>
      </c>
      <c r="W141">
        <v>5.5</v>
      </c>
      <c r="X141">
        <v>3.9</v>
      </c>
      <c r="Y141">
        <v>1.63</v>
      </c>
      <c r="Z141">
        <v>5.49</v>
      </c>
      <c r="AA141">
        <v>4.24</v>
      </c>
      <c r="AB141">
        <v>1.62</v>
      </c>
      <c r="AC141">
        <v>5.25</v>
      </c>
      <c r="AD141">
        <v>4</v>
      </c>
      <c r="AE141">
        <v>1.62</v>
      </c>
      <c r="AF141">
        <v>5.75</v>
      </c>
      <c r="AG141">
        <v>4</v>
      </c>
      <c r="AH141">
        <v>1.55</v>
      </c>
      <c r="AI141">
        <v>5.75</v>
      </c>
      <c r="AJ141">
        <v>4.3499999999999996</v>
      </c>
      <c r="AK141">
        <v>1.68</v>
      </c>
      <c r="AL141">
        <v>5.33</v>
      </c>
      <c r="AM141">
        <v>4.13</v>
      </c>
      <c r="AN141">
        <v>1.61</v>
      </c>
      <c r="AO141">
        <v>1</v>
      </c>
      <c r="AP141">
        <v>0.174080823239361</v>
      </c>
      <c r="AQ141">
        <v>0.230106835316396</v>
      </c>
      <c r="AR141">
        <v>0.595812341444242</v>
      </c>
      <c r="AS141">
        <v>1</v>
      </c>
      <c r="AT141" s="2">
        <v>9.6473362632654104E-4</v>
      </c>
      <c r="AU141">
        <v>0.904586673530131</v>
      </c>
      <c r="AV141">
        <f t="shared" si="15"/>
        <v>38254.774383244614</v>
      </c>
      <c r="AW141">
        <f t="shared" si="16"/>
        <v>6659.4226174712448</v>
      </c>
      <c r="AX141">
        <f t="shared" si="17"/>
        <v>8802.6850690711872</v>
      </c>
      <c r="AY141">
        <f t="shared" si="18"/>
        <v>22792.666696702185</v>
      </c>
      <c r="AZ141" cm="1">
        <f t="array" ref="AZ141">_xlfn.IFS(E141="H",AW141*AI141-AV141,E141="D",AX141*AJ141-AV141,E141="A",AY141*AK141-AV141)</f>
        <v>36.905667215047288</v>
      </c>
      <c r="BA141">
        <f t="shared" si="19"/>
        <v>2338.0899843087036</v>
      </c>
    </row>
    <row r="142" spans="1:53" x14ac:dyDescent="0.2">
      <c r="A142">
        <v>2</v>
      </c>
      <c r="B142" t="s">
        <v>198</v>
      </c>
      <c r="C142" s="1">
        <v>44102</v>
      </c>
      <c r="D142" t="s">
        <v>48</v>
      </c>
      <c r="E142" t="s">
        <v>49</v>
      </c>
      <c r="F142" t="s">
        <v>241</v>
      </c>
      <c r="G142" t="s">
        <v>187</v>
      </c>
      <c r="H142">
        <v>1000</v>
      </c>
      <c r="I142" t="s">
        <v>242</v>
      </c>
      <c r="J142" t="s">
        <v>208</v>
      </c>
      <c r="K142" t="s">
        <v>54</v>
      </c>
      <c r="L142">
        <v>2020</v>
      </c>
      <c r="M142">
        <v>1.25</v>
      </c>
      <c r="N142">
        <v>1.5</v>
      </c>
      <c r="O142">
        <v>1.5</v>
      </c>
      <c r="P142">
        <v>2</v>
      </c>
      <c r="Q142">
        <v>1.95</v>
      </c>
      <c r="R142">
        <v>3.6</v>
      </c>
      <c r="S142">
        <v>3.6</v>
      </c>
      <c r="T142">
        <v>1.95</v>
      </c>
      <c r="U142">
        <v>3.8</v>
      </c>
      <c r="V142">
        <v>3.6</v>
      </c>
      <c r="W142">
        <v>1.97</v>
      </c>
      <c r="X142">
        <v>3.45</v>
      </c>
      <c r="Y142">
        <v>3.75</v>
      </c>
      <c r="Z142">
        <v>1.96</v>
      </c>
      <c r="AA142">
        <v>3.83</v>
      </c>
      <c r="AB142">
        <v>3.86</v>
      </c>
      <c r="AC142">
        <v>2</v>
      </c>
      <c r="AD142">
        <v>3.6</v>
      </c>
      <c r="AE142">
        <v>3.75</v>
      </c>
      <c r="AF142">
        <v>1.93</v>
      </c>
      <c r="AG142">
        <v>3.4</v>
      </c>
      <c r="AH142">
        <v>3.9</v>
      </c>
      <c r="AI142">
        <v>2.0499999999999998</v>
      </c>
      <c r="AJ142">
        <v>3.9</v>
      </c>
      <c r="AK142">
        <v>4</v>
      </c>
      <c r="AL142">
        <v>1.96</v>
      </c>
      <c r="AM142">
        <v>3.66</v>
      </c>
      <c r="AN142">
        <v>3.73</v>
      </c>
      <c r="AO142">
        <v>1</v>
      </c>
      <c r="AP142">
        <v>0.49064318289039099</v>
      </c>
      <c r="AQ142">
        <v>0.25790218587828201</v>
      </c>
      <c r="AR142">
        <v>0.251454631231325</v>
      </c>
      <c r="AS142">
        <v>1</v>
      </c>
      <c r="AT142">
        <v>5.8185249253026499E-3</v>
      </c>
      <c r="AU142">
        <v>0.910405198455433</v>
      </c>
      <c r="AV142">
        <f t="shared" si="15"/>
        <v>40592.864367553317</v>
      </c>
      <c r="AW142">
        <f t="shared" si="16"/>
        <v>19916.612175934319</v>
      </c>
      <c r="AX142">
        <f t="shared" si="17"/>
        <v>10468.988451452657</v>
      </c>
      <c r="AY142">
        <f t="shared" si="18"/>
        <v>10207.26374016634</v>
      </c>
      <c r="AZ142" cm="1">
        <f t="array" ref="AZ142">_xlfn.IFS(E142="H",AW142*AI142-AV142,E142="D",AX142*AJ142-AV142,E142="A",AY142*AK142-AV142)</f>
        <v>236.19059311203455</v>
      </c>
      <c r="BA142">
        <f t="shared" si="19"/>
        <v>2574.2805774207382</v>
      </c>
    </row>
    <row r="143" spans="1:53" x14ac:dyDescent="0.2">
      <c r="A143">
        <v>4</v>
      </c>
      <c r="B143" t="s">
        <v>229</v>
      </c>
      <c r="C143" s="1">
        <v>44105</v>
      </c>
      <c r="D143" t="s">
        <v>342</v>
      </c>
      <c r="E143" t="s">
        <v>74</v>
      </c>
      <c r="F143" t="s">
        <v>157</v>
      </c>
      <c r="G143" t="s">
        <v>87</v>
      </c>
      <c r="H143" t="s">
        <v>256</v>
      </c>
      <c r="I143" t="s">
        <v>159</v>
      </c>
      <c r="J143" t="s">
        <v>265</v>
      </c>
      <c r="K143" t="s">
        <v>54</v>
      </c>
      <c r="L143">
        <v>2020</v>
      </c>
      <c r="M143">
        <v>1.25</v>
      </c>
      <c r="N143">
        <v>1.5</v>
      </c>
      <c r="O143">
        <v>2.5</v>
      </c>
      <c r="P143">
        <v>3</v>
      </c>
      <c r="Q143">
        <v>5.75</v>
      </c>
      <c r="R143">
        <v>4.2</v>
      </c>
      <c r="S143">
        <v>1.53</v>
      </c>
      <c r="T143">
        <v>5.5</v>
      </c>
      <c r="U143">
        <v>4.0999999999999996</v>
      </c>
      <c r="V143">
        <v>1.6</v>
      </c>
      <c r="W143">
        <v>5.75</v>
      </c>
      <c r="X143">
        <v>4.2</v>
      </c>
      <c r="Y143">
        <v>1.57</v>
      </c>
      <c r="Z143">
        <v>5.89</v>
      </c>
      <c r="AA143">
        <v>4.51</v>
      </c>
      <c r="AB143">
        <v>1.56</v>
      </c>
      <c r="AC143">
        <v>6</v>
      </c>
      <c r="AD143">
        <v>4.33</v>
      </c>
      <c r="AE143">
        <v>1.53</v>
      </c>
      <c r="AF143">
        <v>5.75</v>
      </c>
      <c r="AG143">
        <v>4.4000000000000004</v>
      </c>
      <c r="AH143">
        <v>1.53</v>
      </c>
      <c r="AI143">
        <v>6.25</v>
      </c>
      <c r="AJ143">
        <v>4.7</v>
      </c>
      <c r="AK143">
        <v>1.6</v>
      </c>
      <c r="AL143">
        <v>5.76</v>
      </c>
      <c r="AM143">
        <v>4.4000000000000004</v>
      </c>
      <c r="AN143">
        <v>1.55</v>
      </c>
      <c r="AO143">
        <v>1</v>
      </c>
      <c r="AP143">
        <v>0.16035824714788299</v>
      </c>
      <c r="AQ143">
        <v>0.21324234993069599</v>
      </c>
      <c r="AR143">
        <v>0.62639940292142005</v>
      </c>
      <c r="AS143">
        <v>1</v>
      </c>
      <c r="AT143">
        <v>2.23904467427238E-3</v>
      </c>
      <c r="AU143">
        <v>0.91264424312970605</v>
      </c>
      <c r="AV143">
        <f t="shared" si="15"/>
        <v>43167.144944974054</v>
      </c>
      <c r="AW143">
        <f t="shared" si="16"/>
        <v>6922.2076977546621</v>
      </c>
      <c r="AX143">
        <f t="shared" si="17"/>
        <v>9205.0634278652433</v>
      </c>
      <c r="AY143">
        <f t="shared" si="18"/>
        <v>27039.873819354147</v>
      </c>
      <c r="AZ143" cm="1">
        <f t="array" ref="AZ143">_xlfn.IFS(E143="H",AW143*AI143-AV143,E143="D",AX143*AJ143-AV143,E143="A",AY143*AK143-AV143)</f>
        <v>96.653165992582217</v>
      </c>
      <c r="BA143">
        <f t="shared" si="19"/>
        <v>2670.9337434133204</v>
      </c>
    </row>
    <row r="144" spans="1:53" x14ac:dyDescent="0.2">
      <c r="A144">
        <v>3</v>
      </c>
      <c r="B144" t="s">
        <v>47</v>
      </c>
      <c r="C144" s="1">
        <v>44106</v>
      </c>
      <c r="D144" t="s">
        <v>199</v>
      </c>
      <c r="E144" t="s">
        <v>49</v>
      </c>
      <c r="F144" t="s">
        <v>255</v>
      </c>
      <c r="G144" t="s">
        <v>75</v>
      </c>
      <c r="H144">
        <v>4400</v>
      </c>
      <c r="I144" t="s">
        <v>343</v>
      </c>
      <c r="J144" t="s">
        <v>336</v>
      </c>
      <c r="K144" t="s">
        <v>54</v>
      </c>
      <c r="L144">
        <v>2020</v>
      </c>
      <c r="M144">
        <v>1.75</v>
      </c>
      <c r="N144">
        <v>1.5</v>
      </c>
      <c r="O144">
        <v>1.5</v>
      </c>
      <c r="P144">
        <v>1.25</v>
      </c>
      <c r="Q144">
        <v>2.0499999999999998</v>
      </c>
      <c r="R144">
        <v>3.6</v>
      </c>
      <c r="S144">
        <v>3.4</v>
      </c>
      <c r="T144">
        <v>2.15</v>
      </c>
      <c r="U144">
        <v>3.5</v>
      </c>
      <c r="V144">
        <v>3.3</v>
      </c>
      <c r="W144">
        <v>2.2000000000000002</v>
      </c>
      <c r="X144">
        <v>3.5</v>
      </c>
      <c r="Y144">
        <v>3.25</v>
      </c>
      <c r="Z144">
        <v>2.1800000000000002</v>
      </c>
      <c r="AA144">
        <v>3.73</v>
      </c>
      <c r="AB144">
        <v>3.4</v>
      </c>
      <c r="AC144">
        <v>2.1</v>
      </c>
      <c r="AD144">
        <v>3.4</v>
      </c>
      <c r="AE144">
        <v>3.4</v>
      </c>
      <c r="AF144">
        <v>2.1</v>
      </c>
      <c r="AG144">
        <v>3.6</v>
      </c>
      <c r="AH144">
        <v>3.3</v>
      </c>
      <c r="AI144">
        <v>2.25</v>
      </c>
      <c r="AJ144">
        <v>3.73</v>
      </c>
      <c r="AK144">
        <v>3.49</v>
      </c>
      <c r="AL144">
        <v>2.14</v>
      </c>
      <c r="AM144">
        <v>3.56</v>
      </c>
      <c r="AN144">
        <v>3.37</v>
      </c>
      <c r="AO144">
        <v>1</v>
      </c>
      <c r="AP144">
        <v>0.44485642131450598</v>
      </c>
      <c r="AQ144">
        <v>0.26834502626210099</v>
      </c>
      <c r="AR144">
        <v>0.28679855242339197</v>
      </c>
      <c r="AS144">
        <v>1</v>
      </c>
      <c r="AT144" s="2">
        <v>9.2694795763903395E-4</v>
      </c>
      <c r="AU144">
        <v>0.91357119108734497</v>
      </c>
      <c r="AV144">
        <f t="shared" si="15"/>
        <v>45838.078688387373</v>
      </c>
      <c r="AW144">
        <f t="shared" si="16"/>
        <v>20391.363645248741</v>
      </c>
      <c r="AX144">
        <f t="shared" si="17"/>
        <v>12300.420429439589</v>
      </c>
      <c r="AY144">
        <f t="shared" si="18"/>
        <v>13146.294613699045</v>
      </c>
      <c r="AZ144" cm="1">
        <f t="array" ref="AZ144">_xlfn.IFS(E144="H",AW144*AI144-AV144,E144="D",AX144*AJ144-AV144,E144="A",AY144*AK144-AV144)</f>
        <v>42.489513422297023</v>
      </c>
      <c r="BA144">
        <f t="shared" si="19"/>
        <v>2713.4232568356174</v>
      </c>
    </row>
    <row r="145" spans="1:53" x14ac:dyDescent="0.2">
      <c r="A145">
        <v>3</v>
      </c>
      <c r="B145" t="s">
        <v>47</v>
      </c>
      <c r="C145" s="1">
        <v>44106</v>
      </c>
      <c r="D145" t="s">
        <v>48</v>
      </c>
      <c r="E145" t="s">
        <v>74</v>
      </c>
      <c r="F145" t="s">
        <v>181</v>
      </c>
      <c r="G145" t="s">
        <v>278</v>
      </c>
      <c r="H145">
        <v>1000</v>
      </c>
      <c r="I145" t="s">
        <v>344</v>
      </c>
      <c r="J145" t="s">
        <v>276</v>
      </c>
      <c r="K145" t="s">
        <v>54</v>
      </c>
      <c r="L145">
        <v>2020</v>
      </c>
      <c r="M145">
        <v>2.5</v>
      </c>
      <c r="N145">
        <v>2</v>
      </c>
      <c r="O145">
        <v>1</v>
      </c>
      <c r="P145">
        <v>1</v>
      </c>
      <c r="Q145">
        <v>1.61</v>
      </c>
      <c r="R145">
        <v>4</v>
      </c>
      <c r="S145">
        <v>5.25</v>
      </c>
      <c r="T145">
        <v>1.67</v>
      </c>
      <c r="U145">
        <v>4</v>
      </c>
      <c r="V145">
        <v>5</v>
      </c>
      <c r="W145">
        <v>1.67</v>
      </c>
      <c r="X145">
        <v>4</v>
      </c>
      <c r="Y145">
        <v>5</v>
      </c>
      <c r="Z145">
        <v>1.68</v>
      </c>
      <c r="AA145">
        <v>4.21</v>
      </c>
      <c r="AB145">
        <v>5.26</v>
      </c>
      <c r="AC145">
        <v>1.65</v>
      </c>
      <c r="AD145">
        <v>3.9</v>
      </c>
      <c r="AE145">
        <v>5.25</v>
      </c>
      <c r="AF145">
        <v>1.65</v>
      </c>
      <c r="AG145">
        <v>3.9</v>
      </c>
      <c r="AH145">
        <v>5.25</v>
      </c>
      <c r="AI145">
        <v>1.73</v>
      </c>
      <c r="AJ145">
        <v>4.21</v>
      </c>
      <c r="AK145">
        <v>5.5</v>
      </c>
      <c r="AL145">
        <v>1.67</v>
      </c>
      <c r="AM145">
        <v>4.0599999999999996</v>
      </c>
      <c r="AN145">
        <v>5.01</v>
      </c>
      <c r="AO145">
        <v>1</v>
      </c>
      <c r="AP145">
        <v>0.57955162652396597</v>
      </c>
      <c r="AQ145">
        <v>0.23815304367849399</v>
      </c>
      <c r="AR145">
        <v>0.18229532979753801</v>
      </c>
      <c r="AS145">
        <v>1</v>
      </c>
      <c r="AT145">
        <v>2.6243138864625501E-3</v>
      </c>
      <c r="AU145">
        <v>0.91619550497380697</v>
      </c>
      <c r="AV145">
        <f t="shared" si="15"/>
        <v>48551.50194522299</v>
      </c>
      <c r="AW145">
        <f t="shared" si="16"/>
        <v>28138.101922535519</v>
      </c>
      <c r="AX145">
        <f t="shared" si="17"/>
        <v>11562.687963417209</v>
      </c>
      <c r="AY145">
        <f t="shared" si="18"/>
        <v>8850.7120592702631</v>
      </c>
      <c r="AZ145" cm="1">
        <f t="array" ref="AZ145">_xlfn.IFS(E145="H",AW145*AI145-AV145,E145="D",AX145*AJ145-AV145,E145="A",AY145*AK145-AV145)</f>
        <v>127.41438076345366</v>
      </c>
      <c r="BA145">
        <f t="shared" si="19"/>
        <v>2840.8376375990711</v>
      </c>
    </row>
    <row r="146" spans="1:53" x14ac:dyDescent="0.2">
      <c r="A146">
        <v>6</v>
      </c>
      <c r="B146" t="s">
        <v>47</v>
      </c>
      <c r="C146" s="1">
        <v>44106</v>
      </c>
      <c r="D146" t="s">
        <v>68</v>
      </c>
      <c r="E146" t="s">
        <v>49</v>
      </c>
      <c r="F146" t="s">
        <v>70</v>
      </c>
      <c r="G146" t="s">
        <v>51</v>
      </c>
      <c r="H146" t="s">
        <v>256</v>
      </c>
      <c r="I146" t="s">
        <v>333</v>
      </c>
      <c r="J146" t="s">
        <v>66</v>
      </c>
      <c r="K146" t="s">
        <v>54</v>
      </c>
      <c r="L146">
        <v>2020</v>
      </c>
      <c r="M146">
        <v>2.25</v>
      </c>
      <c r="N146">
        <v>2.25</v>
      </c>
      <c r="O146">
        <v>1.5</v>
      </c>
      <c r="P146">
        <v>0.75</v>
      </c>
      <c r="Q146">
        <v>1.1000000000000001</v>
      </c>
      <c r="R146">
        <v>9</v>
      </c>
      <c r="S146">
        <v>21</v>
      </c>
      <c r="T146">
        <v>1.1100000000000001</v>
      </c>
      <c r="U146">
        <v>10</v>
      </c>
      <c r="V146">
        <v>21</v>
      </c>
      <c r="W146">
        <v>1.1499999999999999</v>
      </c>
      <c r="X146">
        <v>9.5</v>
      </c>
      <c r="Y146">
        <v>14</v>
      </c>
      <c r="Z146">
        <v>1.0900000000000001</v>
      </c>
      <c r="AA146">
        <v>11.75</v>
      </c>
      <c r="AB146">
        <v>27.98</v>
      </c>
      <c r="AC146">
        <v>1.08</v>
      </c>
      <c r="AD146">
        <v>10</v>
      </c>
      <c r="AE146">
        <v>26</v>
      </c>
      <c r="AF146">
        <v>1.07</v>
      </c>
      <c r="AG146">
        <v>11.5</v>
      </c>
      <c r="AH146">
        <v>26</v>
      </c>
      <c r="AI146">
        <v>1.1499999999999999</v>
      </c>
      <c r="AJ146">
        <v>12.5</v>
      </c>
      <c r="AK146">
        <v>29</v>
      </c>
      <c r="AL146">
        <v>1.0900000000000001</v>
      </c>
      <c r="AM146">
        <v>10.94</v>
      </c>
      <c r="AN146">
        <v>23.63</v>
      </c>
      <c r="AO146">
        <v>1</v>
      </c>
      <c r="AP146">
        <v>0.88366140532634496</v>
      </c>
      <c r="AQ146">
        <v>8.1296849290023704E-2</v>
      </c>
      <c r="AR146">
        <v>3.5041745383630897E-2</v>
      </c>
      <c r="AS146">
        <v>1</v>
      </c>
      <c r="AT146">
        <v>1.6210616125296999E-2</v>
      </c>
      <c r="AU146">
        <v>0.93240612109910403</v>
      </c>
      <c r="AV146">
        <f t="shared" si="15"/>
        <v>51392.33958282206</v>
      </c>
      <c r="AW146">
        <f t="shared" si="16"/>
        <v>45413.427018765302</v>
      </c>
      <c r="AX146">
        <f t="shared" si="17"/>
        <v>4178.0352857264079</v>
      </c>
      <c r="AY146">
        <f t="shared" si="18"/>
        <v>1800.8772783303482</v>
      </c>
      <c r="AZ146" cm="1">
        <f t="array" ref="AZ146">_xlfn.IFS(E146="H",AW146*AI146-AV146,E146="D",AX146*AJ146-AV146,E146="A",AY146*AK146-AV146)</f>
        <v>833.10148875803134</v>
      </c>
      <c r="BA146">
        <f t="shared" si="19"/>
        <v>3673.9391263571024</v>
      </c>
    </row>
    <row r="147" spans="1:53" x14ac:dyDescent="0.2">
      <c r="A147">
        <v>6</v>
      </c>
      <c r="B147" t="s">
        <v>55</v>
      </c>
      <c r="C147" s="1">
        <v>44107</v>
      </c>
      <c r="D147" t="s">
        <v>82</v>
      </c>
      <c r="E147" t="s">
        <v>49</v>
      </c>
      <c r="F147" t="s">
        <v>337</v>
      </c>
      <c r="G147" t="s">
        <v>217</v>
      </c>
      <c r="H147" t="s">
        <v>256</v>
      </c>
      <c r="I147" t="s">
        <v>338</v>
      </c>
      <c r="J147" t="s">
        <v>345</v>
      </c>
      <c r="K147" t="s">
        <v>54</v>
      </c>
      <c r="L147">
        <v>2020</v>
      </c>
      <c r="M147">
        <v>3</v>
      </c>
      <c r="N147">
        <v>1.5</v>
      </c>
      <c r="O147">
        <v>1</v>
      </c>
      <c r="P147">
        <v>1.5</v>
      </c>
      <c r="Q147">
        <v>1.95</v>
      </c>
      <c r="R147">
        <v>3.5</v>
      </c>
      <c r="S147">
        <v>4.2</v>
      </c>
      <c r="T147">
        <v>2.0499999999999998</v>
      </c>
      <c r="U147">
        <v>3.4</v>
      </c>
      <c r="V147">
        <v>3.75</v>
      </c>
      <c r="W147">
        <v>2.0499999999999998</v>
      </c>
      <c r="X147">
        <v>3.15</v>
      </c>
      <c r="Y147">
        <v>3.85</v>
      </c>
      <c r="Z147">
        <v>2.08</v>
      </c>
      <c r="AA147">
        <v>3.51</v>
      </c>
      <c r="AB147">
        <v>3.89</v>
      </c>
      <c r="AC147">
        <v>2.0499999999999998</v>
      </c>
      <c r="AD147">
        <v>3.3</v>
      </c>
      <c r="AE147">
        <v>3.75</v>
      </c>
      <c r="AF147">
        <v>2</v>
      </c>
      <c r="AG147">
        <v>3.3</v>
      </c>
      <c r="AH147">
        <v>3.9</v>
      </c>
      <c r="AI147">
        <v>2.12</v>
      </c>
      <c r="AJ147">
        <v>3.58</v>
      </c>
      <c r="AK147">
        <v>4.2</v>
      </c>
      <c r="AL147">
        <v>2.04</v>
      </c>
      <c r="AM147">
        <v>3.38</v>
      </c>
      <c r="AN147">
        <v>3.76</v>
      </c>
      <c r="AO147">
        <v>1</v>
      </c>
      <c r="AP147">
        <v>0.47688521262559602</v>
      </c>
      <c r="AQ147">
        <v>0.28240129909672101</v>
      </c>
      <c r="AR147">
        <v>0.24071348827768099</v>
      </c>
      <c r="AS147">
        <v>1</v>
      </c>
      <c r="AT147">
        <v>1.09966507662642E-2</v>
      </c>
      <c r="AU147">
        <v>0.94340277186536903</v>
      </c>
      <c r="AV147">
        <f t="shared" si="15"/>
        <v>55066.278709179162</v>
      </c>
      <c r="AW147">
        <f t="shared" si="16"/>
        <v>26260.294030727251</v>
      </c>
      <c r="AX147">
        <f t="shared" si="17"/>
        <v>15550.788643894348</v>
      </c>
      <c r="AY147">
        <f t="shared" si="18"/>
        <v>13255.196034557564</v>
      </c>
      <c r="AZ147" cm="1">
        <f t="array" ref="AZ147">_xlfn.IFS(E147="H",AW147*AI147-AV147,E147="D",AX147*AJ147-AV147,E147="A",AY147*AK147-AV147)</f>
        <v>605.54463596261485</v>
      </c>
      <c r="BA147">
        <f t="shared" si="19"/>
        <v>4279.4837623197172</v>
      </c>
    </row>
    <row r="148" spans="1:53" x14ac:dyDescent="0.2">
      <c r="A148">
        <v>4</v>
      </c>
      <c r="B148" t="s">
        <v>55</v>
      </c>
      <c r="C148" s="1">
        <v>44107</v>
      </c>
      <c r="D148" t="s">
        <v>99</v>
      </c>
      <c r="E148" t="s">
        <v>57</v>
      </c>
      <c r="F148" t="s">
        <v>346</v>
      </c>
      <c r="G148" t="s">
        <v>101</v>
      </c>
      <c r="H148" t="s">
        <v>256</v>
      </c>
      <c r="I148" t="s">
        <v>347</v>
      </c>
      <c r="J148" t="s">
        <v>219</v>
      </c>
      <c r="K148" t="s">
        <v>54</v>
      </c>
      <c r="L148">
        <v>2020</v>
      </c>
      <c r="M148">
        <v>3</v>
      </c>
      <c r="N148">
        <v>4</v>
      </c>
      <c r="O148">
        <v>2.25</v>
      </c>
      <c r="P148">
        <v>3</v>
      </c>
      <c r="Q148">
        <v>7.5</v>
      </c>
      <c r="R148">
        <v>5.25</v>
      </c>
      <c r="S148">
        <v>1.36</v>
      </c>
      <c r="T148">
        <v>7</v>
      </c>
      <c r="U148">
        <v>5.25</v>
      </c>
      <c r="V148">
        <v>1.4</v>
      </c>
      <c r="W148">
        <v>7</v>
      </c>
      <c r="X148">
        <v>5</v>
      </c>
      <c r="Y148">
        <v>1.4</v>
      </c>
      <c r="Z148">
        <v>7.98</v>
      </c>
      <c r="AA148">
        <v>5.31</v>
      </c>
      <c r="AB148">
        <v>1.37</v>
      </c>
      <c r="AC148">
        <v>8</v>
      </c>
      <c r="AD148">
        <v>5</v>
      </c>
      <c r="AE148">
        <v>1.38</v>
      </c>
      <c r="AF148">
        <v>7.5</v>
      </c>
      <c r="AG148">
        <v>5.5</v>
      </c>
      <c r="AH148">
        <v>1.36</v>
      </c>
      <c r="AI148">
        <v>8.4</v>
      </c>
      <c r="AJ148">
        <v>5.7</v>
      </c>
      <c r="AK148">
        <v>1.42</v>
      </c>
      <c r="AL148">
        <v>7.45</v>
      </c>
      <c r="AM148">
        <v>5.34</v>
      </c>
      <c r="AN148">
        <v>1.38</v>
      </c>
      <c r="AO148">
        <v>1</v>
      </c>
      <c r="AP148">
        <v>0.119201201731907</v>
      </c>
      <c r="AQ148">
        <v>0.175664928868074</v>
      </c>
      <c r="AR148">
        <v>0.70513386940001699</v>
      </c>
      <c r="AS148">
        <v>1</v>
      </c>
      <c r="AT148">
        <v>1.2900945480249699E-3</v>
      </c>
      <c r="AU148">
        <v>0.94469286641339401</v>
      </c>
      <c r="AV148">
        <f t="shared" si="15"/>
        <v>59345.762471498878</v>
      </c>
      <c r="AW148">
        <f t="shared" si="16"/>
        <v>7074.0862042990175</v>
      </c>
      <c r="AX148">
        <f t="shared" si="17"/>
        <v>10424.969143177499</v>
      </c>
      <c r="AY148">
        <f t="shared" si="18"/>
        <v>41846.707124022359</v>
      </c>
      <c r="AZ148" cm="1">
        <f t="array" ref="AZ148">_xlfn.IFS(E148="H",AW148*AI148-AV148,E148="D",AX148*AJ148-AV148,E148="A",AY148*AK148-AV148)</f>
        <v>76.561644612869713</v>
      </c>
      <c r="BA148">
        <f t="shared" si="19"/>
        <v>4356.045406932587</v>
      </c>
    </row>
    <row r="149" spans="1:53" x14ac:dyDescent="0.2">
      <c r="A149">
        <v>4</v>
      </c>
      <c r="B149" t="s">
        <v>67</v>
      </c>
      <c r="C149" s="1">
        <v>44108</v>
      </c>
      <c r="D149" t="s">
        <v>348</v>
      </c>
      <c r="E149" t="s">
        <v>49</v>
      </c>
      <c r="F149" t="s">
        <v>213</v>
      </c>
      <c r="G149" t="s">
        <v>210</v>
      </c>
      <c r="H149" t="s">
        <v>256</v>
      </c>
      <c r="I149" t="s">
        <v>214</v>
      </c>
      <c r="J149" t="s">
        <v>233</v>
      </c>
      <c r="K149" t="s">
        <v>54</v>
      </c>
      <c r="L149">
        <v>2020</v>
      </c>
      <c r="M149">
        <v>2.25</v>
      </c>
      <c r="N149">
        <v>1</v>
      </c>
      <c r="O149">
        <v>2.25</v>
      </c>
      <c r="P149">
        <v>2.25</v>
      </c>
      <c r="Q149">
        <v>10</v>
      </c>
      <c r="R149">
        <v>5.5</v>
      </c>
      <c r="S149">
        <v>1.3</v>
      </c>
      <c r="T149">
        <v>9.75</v>
      </c>
      <c r="U149">
        <v>5.5</v>
      </c>
      <c r="V149">
        <v>1.3</v>
      </c>
      <c r="W149">
        <v>8.25</v>
      </c>
      <c r="X149">
        <v>5</v>
      </c>
      <c r="Y149">
        <v>1.35</v>
      </c>
      <c r="Z149">
        <v>10.050000000000001</v>
      </c>
      <c r="AA149">
        <v>5.4</v>
      </c>
      <c r="AB149">
        <v>1.33</v>
      </c>
      <c r="AC149">
        <v>9</v>
      </c>
      <c r="AD149">
        <v>5.25</v>
      </c>
      <c r="AE149">
        <v>1.33</v>
      </c>
      <c r="AF149">
        <v>10</v>
      </c>
      <c r="AG149">
        <v>5.5</v>
      </c>
      <c r="AH149">
        <v>1.3</v>
      </c>
      <c r="AI149">
        <v>10.25</v>
      </c>
      <c r="AJ149">
        <v>5.7</v>
      </c>
      <c r="AK149">
        <v>1.38</v>
      </c>
      <c r="AL149">
        <v>9.35</v>
      </c>
      <c r="AM149">
        <v>5.41</v>
      </c>
      <c r="AN149">
        <v>1.33</v>
      </c>
      <c r="AO149">
        <v>1</v>
      </c>
      <c r="AP149">
        <v>9.7792033417872598E-2</v>
      </c>
      <c r="AQ149">
        <v>0.17585409518126199</v>
      </c>
      <c r="AR149">
        <v>0.72635387140086505</v>
      </c>
      <c r="AS149">
        <v>1</v>
      </c>
      <c r="AT149">
        <v>2.3683425331941701E-3</v>
      </c>
      <c r="AU149">
        <v>0.94706120894658796</v>
      </c>
      <c r="AV149">
        <f t="shared" si="15"/>
        <v>63701.807878431464</v>
      </c>
      <c r="AW149">
        <f t="shared" si="16"/>
        <v>6229.5293248264697</v>
      </c>
      <c r="AX149">
        <f t="shared" si="17"/>
        <v>11202.22378587216</v>
      </c>
      <c r="AY149">
        <f t="shared" si="18"/>
        <v>46270.054767732836</v>
      </c>
      <c r="AZ149" cm="1">
        <f t="array" ref="AZ149">_xlfn.IFS(E149="H",AW149*AI149-AV149,E149="D",AX149*AJ149-AV149,E149="A",AY149*AK149-AV149)</f>
        <v>150.86770103985327</v>
      </c>
      <c r="BA149">
        <f t="shared" si="19"/>
        <v>4506.9131079724402</v>
      </c>
    </row>
    <row r="150" spans="1:53" x14ac:dyDescent="0.2">
      <c r="A150">
        <v>4</v>
      </c>
      <c r="B150" t="s">
        <v>55</v>
      </c>
      <c r="C150" s="1">
        <v>44121</v>
      </c>
      <c r="D150" t="s">
        <v>73</v>
      </c>
      <c r="E150" t="s">
        <v>74</v>
      </c>
      <c r="F150" t="s">
        <v>75</v>
      </c>
      <c r="G150" t="s">
        <v>192</v>
      </c>
      <c r="H150">
        <v>250</v>
      </c>
      <c r="I150" t="s">
        <v>77</v>
      </c>
      <c r="J150" t="s">
        <v>257</v>
      </c>
      <c r="K150" t="s">
        <v>54</v>
      </c>
      <c r="L150">
        <v>2020</v>
      </c>
      <c r="M150">
        <v>0.75</v>
      </c>
      <c r="N150">
        <v>1</v>
      </c>
      <c r="O150">
        <v>0.75</v>
      </c>
      <c r="P150">
        <v>0.5</v>
      </c>
      <c r="Q150">
        <v>5.5</v>
      </c>
      <c r="R150">
        <v>4.33</v>
      </c>
      <c r="S150">
        <v>1.57</v>
      </c>
      <c r="T150">
        <v>5.25</v>
      </c>
      <c r="U150">
        <v>4.4000000000000004</v>
      </c>
      <c r="V150">
        <v>1.57</v>
      </c>
      <c r="W150">
        <v>5</v>
      </c>
      <c r="X150">
        <v>4.0999999999999996</v>
      </c>
      <c r="Y150">
        <v>1.63</v>
      </c>
      <c r="Z150">
        <v>5.49</v>
      </c>
      <c r="AA150">
        <v>4.3499999999999996</v>
      </c>
      <c r="AB150">
        <v>1.63</v>
      </c>
      <c r="AC150">
        <v>5.25</v>
      </c>
      <c r="AD150">
        <v>4.33</v>
      </c>
      <c r="AE150">
        <v>1.57</v>
      </c>
      <c r="AF150">
        <v>5</v>
      </c>
      <c r="AG150">
        <v>4.4000000000000004</v>
      </c>
      <c r="AH150">
        <v>1.6</v>
      </c>
      <c r="AI150">
        <v>5.64</v>
      </c>
      <c r="AJ150">
        <v>4.68</v>
      </c>
      <c r="AK150">
        <v>1.65</v>
      </c>
      <c r="AL150">
        <v>5.13</v>
      </c>
      <c r="AM150">
        <v>4.3499999999999996</v>
      </c>
      <c r="AN150">
        <v>1.61</v>
      </c>
      <c r="AO150">
        <v>1</v>
      </c>
      <c r="AP150">
        <v>0.17783120543856701</v>
      </c>
      <c r="AQ150">
        <v>0.214309401425965</v>
      </c>
      <c r="AR150">
        <v>0.607859393135466</v>
      </c>
      <c r="AS150">
        <v>0.999999999999999</v>
      </c>
      <c r="AT150">
        <v>2.96799867352004E-3</v>
      </c>
      <c r="AU150">
        <v>0.95002920762010801</v>
      </c>
      <c r="AV150">
        <f t="shared" si="15"/>
        <v>68208.720986403903</v>
      </c>
      <c r="AW150">
        <f t="shared" si="16"/>
        <v>12129.639074435116</v>
      </c>
      <c r="AX150">
        <f t="shared" si="17"/>
        <v>14617.770166626935</v>
      </c>
      <c r="AY150">
        <f t="shared" si="18"/>
        <v>41461.311745341845</v>
      </c>
      <c r="AZ150" cm="1">
        <f t="array" ref="AZ150">_xlfn.IFS(E150="H",AW150*AI150-AV150,E150="D",AX150*AJ150-AV150,E150="A",AY150*AK150-AV150)</f>
        <v>202.44339341013983</v>
      </c>
      <c r="BA150">
        <f t="shared" si="19"/>
        <v>4709.3565013825801</v>
      </c>
    </row>
    <row r="151" spans="1:53" x14ac:dyDescent="0.2">
      <c r="A151">
        <v>6</v>
      </c>
      <c r="B151" t="s">
        <v>55</v>
      </c>
      <c r="C151" s="1">
        <v>44121</v>
      </c>
      <c r="D151" t="s">
        <v>68</v>
      </c>
      <c r="E151" t="s">
        <v>49</v>
      </c>
      <c r="F151" t="s">
        <v>162</v>
      </c>
      <c r="G151" t="s">
        <v>87</v>
      </c>
      <c r="H151" t="s">
        <v>256</v>
      </c>
      <c r="I151" t="s">
        <v>237</v>
      </c>
      <c r="J151" t="s">
        <v>349</v>
      </c>
      <c r="K151" t="s">
        <v>54</v>
      </c>
      <c r="L151">
        <v>2020</v>
      </c>
      <c r="M151">
        <v>1.5</v>
      </c>
      <c r="N151">
        <v>1.25</v>
      </c>
      <c r="O151">
        <v>3</v>
      </c>
      <c r="P151">
        <v>3.25</v>
      </c>
      <c r="Q151">
        <v>4.75</v>
      </c>
      <c r="R151">
        <v>3.8</v>
      </c>
      <c r="S151">
        <v>1.72</v>
      </c>
      <c r="T151">
        <v>5</v>
      </c>
      <c r="U151">
        <v>3.7</v>
      </c>
      <c r="V151">
        <v>1.72</v>
      </c>
      <c r="W151">
        <v>4.8</v>
      </c>
      <c r="X151">
        <v>3.5</v>
      </c>
      <c r="Y151">
        <v>1.77</v>
      </c>
      <c r="Z151">
        <v>5.09</v>
      </c>
      <c r="AA151">
        <v>3.75</v>
      </c>
      <c r="AB151">
        <v>1.78</v>
      </c>
      <c r="AC151">
        <v>5.25</v>
      </c>
      <c r="AD151">
        <v>3.6</v>
      </c>
      <c r="AE151">
        <v>1.73</v>
      </c>
      <c r="AF151">
        <v>4.8</v>
      </c>
      <c r="AG151">
        <v>3.75</v>
      </c>
      <c r="AH151">
        <v>1.73</v>
      </c>
      <c r="AI151">
        <v>5.45</v>
      </c>
      <c r="AJ151">
        <v>3.84</v>
      </c>
      <c r="AK151">
        <v>1.8</v>
      </c>
      <c r="AL151">
        <v>4.88</v>
      </c>
      <c r="AM151">
        <v>3.7</v>
      </c>
      <c r="AN151">
        <v>1.75</v>
      </c>
      <c r="AO151">
        <v>1</v>
      </c>
      <c r="AP151">
        <v>0.18358565737051699</v>
      </c>
      <c r="AQ151">
        <v>0.26055776892430199</v>
      </c>
      <c r="AR151">
        <v>0.55585657370517905</v>
      </c>
      <c r="AS151">
        <v>1</v>
      </c>
      <c r="AT151" s="2">
        <v>5.4183266932272801E-4</v>
      </c>
      <c r="AU151">
        <v>0.95057104028943096</v>
      </c>
      <c r="AV151">
        <f t="shared" si="15"/>
        <v>72918.07748778649</v>
      </c>
      <c r="AW151">
        <f t="shared" si="16"/>
        <v>13386.713189789649</v>
      </c>
      <c r="AX151">
        <f t="shared" si="17"/>
        <v>18999.371584467077</v>
      </c>
      <c r="AY151">
        <f t="shared" si="18"/>
        <v>40531.992713529762</v>
      </c>
      <c r="AZ151" cm="1">
        <f t="array" ref="AZ151">_xlfn.IFS(E151="H",AW151*AI151-AV151,E151="D",AX151*AJ151-AV151,E151="A",AY151*AK151-AV151)</f>
        <v>39.509396567096701</v>
      </c>
      <c r="BA151">
        <f t="shared" si="19"/>
        <v>4748.8658979496768</v>
      </c>
    </row>
    <row r="152" spans="1:53" x14ac:dyDescent="0.2">
      <c r="A152">
        <v>5</v>
      </c>
      <c r="B152" t="s">
        <v>55</v>
      </c>
      <c r="C152" s="1">
        <v>44121</v>
      </c>
      <c r="D152" t="s">
        <v>90</v>
      </c>
      <c r="E152" t="s">
        <v>57</v>
      </c>
      <c r="F152" t="s">
        <v>91</v>
      </c>
      <c r="G152" t="s">
        <v>152</v>
      </c>
      <c r="H152" t="s">
        <v>256</v>
      </c>
      <c r="I152" t="s">
        <v>93</v>
      </c>
      <c r="J152" t="s">
        <v>350</v>
      </c>
      <c r="K152" t="s">
        <v>54</v>
      </c>
      <c r="L152">
        <v>2020</v>
      </c>
      <c r="M152">
        <v>2.25</v>
      </c>
      <c r="N152">
        <v>1.75</v>
      </c>
      <c r="O152">
        <v>1.75</v>
      </c>
      <c r="P152">
        <v>1.25</v>
      </c>
      <c r="Q152">
        <v>1.45</v>
      </c>
      <c r="R152">
        <v>4.75</v>
      </c>
      <c r="S152">
        <v>6.5</v>
      </c>
      <c r="T152">
        <v>1.5</v>
      </c>
      <c r="U152">
        <v>4.5999999999999996</v>
      </c>
      <c r="V152">
        <v>6</v>
      </c>
      <c r="W152">
        <v>1.57</v>
      </c>
      <c r="X152">
        <v>4.2</v>
      </c>
      <c r="Y152">
        <v>5.75</v>
      </c>
      <c r="Z152">
        <v>1.56</v>
      </c>
      <c r="AA152">
        <v>4.53</v>
      </c>
      <c r="AB152">
        <v>6.14</v>
      </c>
      <c r="AC152">
        <v>1.53</v>
      </c>
      <c r="AD152">
        <v>4.33</v>
      </c>
      <c r="AE152">
        <v>6</v>
      </c>
      <c r="AF152">
        <v>1.5</v>
      </c>
      <c r="AG152">
        <v>4.5</v>
      </c>
      <c r="AH152">
        <v>6</v>
      </c>
      <c r="AI152">
        <v>1.58</v>
      </c>
      <c r="AJ152">
        <v>4.8</v>
      </c>
      <c r="AK152">
        <v>6.5</v>
      </c>
      <c r="AL152">
        <v>1.53</v>
      </c>
      <c r="AM152">
        <v>4.5599999999999996</v>
      </c>
      <c r="AN152">
        <v>5.92</v>
      </c>
      <c r="AO152">
        <v>1</v>
      </c>
      <c r="AP152">
        <v>0.63603375871488499</v>
      </c>
      <c r="AQ152">
        <v>0.20936111224364901</v>
      </c>
      <c r="AR152">
        <v>0.15460512904146401</v>
      </c>
      <c r="AS152">
        <v>1</v>
      </c>
      <c r="AT152">
        <v>4.9333387695191799E-3</v>
      </c>
      <c r="AU152">
        <v>0.95550437905895003</v>
      </c>
      <c r="AV152">
        <f t="shared" si="15"/>
        <v>77666.943385736173</v>
      </c>
      <c r="AW152">
        <f t="shared" si="16"/>
        <v>49398.797929526001</v>
      </c>
      <c r="AX152">
        <f t="shared" si="17"/>
        <v>16260.437651802309</v>
      </c>
      <c r="AY152">
        <f t="shared" si="18"/>
        <v>12007.707804407859</v>
      </c>
      <c r="AZ152" cm="1">
        <f t="array" ref="AZ152">_xlfn.IFS(E152="H",AW152*AI152-AV152,E152="D",AX152*AJ152-AV152,E152="A",AY152*AK152-AV152)</f>
        <v>383.1573429149139</v>
      </c>
      <c r="BA152">
        <f t="shared" si="19"/>
        <v>5132.0232408645907</v>
      </c>
    </row>
    <row r="153" spans="1:53" x14ac:dyDescent="0.2">
      <c r="A153">
        <v>4</v>
      </c>
      <c r="B153" t="s">
        <v>67</v>
      </c>
      <c r="C153" s="1">
        <v>44122</v>
      </c>
      <c r="D153" t="s">
        <v>48</v>
      </c>
      <c r="E153" t="s">
        <v>49</v>
      </c>
      <c r="F153" t="s">
        <v>108</v>
      </c>
      <c r="G153" t="s">
        <v>351</v>
      </c>
      <c r="H153">
        <v>1000</v>
      </c>
      <c r="I153" t="s">
        <v>110</v>
      </c>
      <c r="J153" t="s">
        <v>352</v>
      </c>
      <c r="K153" t="s">
        <v>54</v>
      </c>
      <c r="L153">
        <v>2020</v>
      </c>
      <c r="M153">
        <v>2</v>
      </c>
      <c r="N153">
        <v>2</v>
      </c>
      <c r="O153">
        <v>3</v>
      </c>
      <c r="P153">
        <v>3</v>
      </c>
      <c r="Q153">
        <v>1.33</v>
      </c>
      <c r="R153">
        <v>5.5</v>
      </c>
      <c r="S153">
        <v>8.5</v>
      </c>
      <c r="T153">
        <v>1.3</v>
      </c>
      <c r="U153">
        <v>5.75</v>
      </c>
      <c r="V153">
        <v>9.25</v>
      </c>
      <c r="W153">
        <v>1.37</v>
      </c>
      <c r="X153">
        <v>5</v>
      </c>
      <c r="Y153">
        <v>8</v>
      </c>
      <c r="Z153">
        <v>1.33</v>
      </c>
      <c r="AA153">
        <v>5.66</v>
      </c>
      <c r="AB153">
        <v>10.09</v>
      </c>
      <c r="AC153">
        <v>1.32</v>
      </c>
      <c r="AD153">
        <v>5.25</v>
      </c>
      <c r="AE153">
        <v>9.5</v>
      </c>
      <c r="AF153">
        <v>1.29</v>
      </c>
      <c r="AG153">
        <v>5.25</v>
      </c>
      <c r="AH153">
        <v>10</v>
      </c>
      <c r="AI153">
        <v>1.38</v>
      </c>
      <c r="AJ153">
        <v>5.75</v>
      </c>
      <c r="AK153">
        <v>10.09</v>
      </c>
      <c r="AL153">
        <v>1.33</v>
      </c>
      <c r="AM153">
        <v>5.4</v>
      </c>
      <c r="AN153">
        <v>8.86</v>
      </c>
      <c r="AO153">
        <v>1</v>
      </c>
      <c r="AP153">
        <v>0.72633821877969396</v>
      </c>
      <c r="AQ153">
        <v>0.174321172507126</v>
      </c>
      <c r="AR153">
        <v>9.9340608713179096E-2</v>
      </c>
      <c r="AS153">
        <v>1</v>
      </c>
      <c r="AT153">
        <v>2.34674191597794E-3</v>
      </c>
      <c r="AU153">
        <v>0.95785112097492797</v>
      </c>
      <c r="AV153">
        <f t="shared" si="15"/>
        <v>82798.96662660077</v>
      </c>
      <c r="AW153">
        <f t="shared" si="16"/>
        <v>60140.053936364551</v>
      </c>
      <c r="AX153">
        <f t="shared" si="17"/>
        <v>14433.612944727491</v>
      </c>
      <c r="AY153">
        <f t="shared" si="18"/>
        <v>8225.2997455087279</v>
      </c>
      <c r="AZ153" cm="1">
        <f t="array" ref="AZ153">_xlfn.IFS(E153="H",AW153*AI153-AV153,E153="D",AX153*AJ153-AV153,E153="A",AY153*AK153-AV153)</f>
        <v>194.3078055822989</v>
      </c>
      <c r="BA153">
        <f t="shared" si="19"/>
        <v>5326.3310464468896</v>
      </c>
    </row>
    <row r="154" spans="1:53" x14ac:dyDescent="0.2">
      <c r="A154">
        <v>6</v>
      </c>
      <c r="B154" t="s">
        <v>67</v>
      </c>
      <c r="C154" s="1">
        <v>44122</v>
      </c>
      <c r="D154" t="s">
        <v>235</v>
      </c>
      <c r="E154" t="s">
        <v>49</v>
      </c>
      <c r="F154" t="s">
        <v>294</v>
      </c>
      <c r="G154" t="s">
        <v>353</v>
      </c>
      <c r="H154" t="s">
        <v>256</v>
      </c>
      <c r="I154" t="s">
        <v>295</v>
      </c>
      <c r="J154" t="s">
        <v>265</v>
      </c>
      <c r="K154" t="s">
        <v>54</v>
      </c>
      <c r="L154">
        <v>2020</v>
      </c>
      <c r="M154">
        <v>2.5</v>
      </c>
      <c r="N154">
        <v>2.5</v>
      </c>
      <c r="O154">
        <v>0.75</v>
      </c>
      <c r="P154">
        <v>0.5</v>
      </c>
      <c r="Q154">
        <v>1.6</v>
      </c>
      <c r="R154">
        <v>4</v>
      </c>
      <c r="S154">
        <v>5.25</v>
      </c>
      <c r="T154">
        <v>1.65</v>
      </c>
      <c r="U154">
        <v>4</v>
      </c>
      <c r="V154">
        <v>5.25</v>
      </c>
      <c r="W154">
        <v>1.65</v>
      </c>
      <c r="X154">
        <v>3.8</v>
      </c>
      <c r="Y154">
        <v>5</v>
      </c>
      <c r="Z154">
        <v>1.66</v>
      </c>
      <c r="AA154">
        <v>4.2699999999999996</v>
      </c>
      <c r="AB154">
        <v>5.3</v>
      </c>
      <c r="AC154">
        <v>1.62</v>
      </c>
      <c r="AD154">
        <v>4</v>
      </c>
      <c r="AE154">
        <v>5.5</v>
      </c>
      <c r="AF154">
        <v>1.62</v>
      </c>
      <c r="AG154">
        <v>4</v>
      </c>
      <c r="AH154">
        <v>4.8</v>
      </c>
      <c r="AI154">
        <v>1.71</v>
      </c>
      <c r="AJ154">
        <v>4.33</v>
      </c>
      <c r="AK154">
        <v>5.5</v>
      </c>
      <c r="AL154">
        <v>1.65</v>
      </c>
      <c r="AM154">
        <v>4.03</v>
      </c>
      <c r="AN154">
        <v>5.04</v>
      </c>
      <c r="AO154">
        <v>1</v>
      </c>
      <c r="AP154">
        <v>0.58622548573144595</v>
      </c>
      <c r="AQ154">
        <v>0.231511681432049</v>
      </c>
      <c r="AR154">
        <v>0.18226283283650399</v>
      </c>
      <c r="AS154">
        <v>1</v>
      </c>
      <c r="AT154">
        <v>2.4455806007734802E-3</v>
      </c>
      <c r="AU154">
        <v>0.96029670157570102</v>
      </c>
      <c r="AV154">
        <f t="shared" si="15"/>
        <v>88125.297673047666</v>
      </c>
      <c r="AW154">
        <f t="shared" si="16"/>
        <v>51661.295433610678</v>
      </c>
      <c r="AX154">
        <f t="shared" si="17"/>
        <v>20402.035840987126</v>
      </c>
      <c r="AY154">
        <f t="shared" si="18"/>
        <v>16061.966398449864</v>
      </c>
      <c r="AZ154" cm="1">
        <f t="array" ref="AZ154">_xlfn.IFS(E154="H",AW154*AI154-AV154,E154="D",AX154*AJ154-AV154,E154="A",AY154*AK154-AV154)</f>
        <v>215.51751842659723</v>
      </c>
      <c r="BA154">
        <f t="shared" si="19"/>
        <v>5541.8485648734868</v>
      </c>
    </row>
    <row r="155" spans="1:53" x14ac:dyDescent="0.2">
      <c r="A155">
        <v>6</v>
      </c>
      <c r="B155" t="s">
        <v>67</v>
      </c>
      <c r="C155" s="1">
        <v>44122</v>
      </c>
      <c r="D155" t="s">
        <v>190</v>
      </c>
      <c r="E155" t="s">
        <v>57</v>
      </c>
      <c r="F155" t="s">
        <v>354</v>
      </c>
      <c r="G155" t="s">
        <v>166</v>
      </c>
      <c r="H155" t="s">
        <v>256</v>
      </c>
      <c r="I155" t="s">
        <v>355</v>
      </c>
      <c r="J155" t="s">
        <v>356</v>
      </c>
      <c r="K155" t="s">
        <v>54</v>
      </c>
      <c r="L155">
        <v>2020</v>
      </c>
      <c r="M155">
        <v>0.5</v>
      </c>
      <c r="N155">
        <v>0</v>
      </c>
      <c r="O155">
        <v>0</v>
      </c>
      <c r="P155">
        <v>0.5</v>
      </c>
      <c r="Q155">
        <v>2.25</v>
      </c>
      <c r="R155">
        <v>2.9</v>
      </c>
      <c r="S155">
        <v>3.8</v>
      </c>
      <c r="T155">
        <v>2.25</v>
      </c>
      <c r="U155">
        <v>3</v>
      </c>
      <c r="V155">
        <v>3.7</v>
      </c>
      <c r="W155">
        <v>2.2999999999999998</v>
      </c>
      <c r="X155">
        <v>2.8</v>
      </c>
      <c r="Y155">
        <v>3.65</v>
      </c>
      <c r="Z155">
        <v>2.3199999999999998</v>
      </c>
      <c r="AA155">
        <v>3.12</v>
      </c>
      <c r="AB155">
        <v>3.71</v>
      </c>
      <c r="AC155">
        <v>2.2000000000000002</v>
      </c>
      <c r="AD155">
        <v>3</v>
      </c>
      <c r="AE155">
        <v>3.75</v>
      </c>
      <c r="AF155">
        <v>2.25</v>
      </c>
      <c r="AG155">
        <v>2.9</v>
      </c>
      <c r="AH155">
        <v>3.6</v>
      </c>
      <c r="AI155">
        <v>2.36</v>
      </c>
      <c r="AJ155">
        <v>3.15</v>
      </c>
      <c r="AK155">
        <v>3.9</v>
      </c>
      <c r="AL155">
        <v>2.25</v>
      </c>
      <c r="AM155">
        <v>2.99</v>
      </c>
      <c r="AN155">
        <v>3.69</v>
      </c>
      <c r="AO155">
        <v>1</v>
      </c>
      <c r="AP155">
        <v>0.42474847007571798</v>
      </c>
      <c r="AQ155">
        <v>0.31822425059641102</v>
      </c>
      <c r="AR155">
        <v>0.25702727932787001</v>
      </c>
      <c r="AS155">
        <v>1</v>
      </c>
      <c r="AT155">
        <v>2.4063893786951899E-3</v>
      </c>
      <c r="AU155">
        <v>0.96270309095439599</v>
      </c>
      <c r="AV155">
        <f t="shared" si="15"/>
        <v>93667.146237921159</v>
      </c>
      <c r="AW155">
        <f t="shared" si="16"/>
        <v>39784.977060915582</v>
      </c>
      <c r="AX155">
        <f t="shared" si="17"/>
        <v>29807.157417066919</v>
      </c>
      <c r="AY155">
        <f t="shared" si="18"/>
        <v>24075.011759938661</v>
      </c>
      <c r="AZ155" cm="1">
        <f t="array" ref="AZ155">_xlfn.IFS(E155="H",AW155*AI155-AV155,E155="D",AX155*AJ155-AV155,E155="A",AY155*AK155-AV155)</f>
        <v>225.39962583963643</v>
      </c>
      <c r="BA155">
        <f t="shared" si="19"/>
        <v>5767.2481907131232</v>
      </c>
    </row>
    <row r="156" spans="1:53" x14ac:dyDescent="0.2">
      <c r="A156">
        <v>7</v>
      </c>
      <c r="B156" t="s">
        <v>67</v>
      </c>
      <c r="C156" s="1">
        <v>44122</v>
      </c>
      <c r="D156" t="s">
        <v>183</v>
      </c>
      <c r="E156" t="s">
        <v>57</v>
      </c>
      <c r="F156" t="s">
        <v>51</v>
      </c>
      <c r="G156" t="s">
        <v>79</v>
      </c>
      <c r="H156" t="s">
        <v>256</v>
      </c>
      <c r="I156" t="s">
        <v>80</v>
      </c>
      <c r="J156" t="s">
        <v>357</v>
      </c>
      <c r="K156" t="s">
        <v>54</v>
      </c>
      <c r="L156">
        <v>2020</v>
      </c>
      <c r="M156">
        <v>2.25</v>
      </c>
      <c r="N156">
        <v>1.5</v>
      </c>
      <c r="O156">
        <v>1</v>
      </c>
      <c r="P156">
        <v>0.5</v>
      </c>
      <c r="Q156">
        <v>2</v>
      </c>
      <c r="R156">
        <v>3.4</v>
      </c>
      <c r="S156">
        <v>3.9</v>
      </c>
      <c r="T156">
        <v>2</v>
      </c>
      <c r="U156">
        <v>3.4</v>
      </c>
      <c r="V156">
        <v>3.9</v>
      </c>
      <c r="W156">
        <v>2.0499999999999998</v>
      </c>
      <c r="X156">
        <v>3.1</v>
      </c>
      <c r="Y156">
        <v>3.95</v>
      </c>
      <c r="Z156">
        <v>2.0499999999999998</v>
      </c>
      <c r="AA156">
        <v>3.45</v>
      </c>
      <c r="AB156">
        <v>4.09</v>
      </c>
      <c r="AC156">
        <v>2.0499999999999998</v>
      </c>
      <c r="AD156">
        <v>3.2</v>
      </c>
      <c r="AE156">
        <v>3.8</v>
      </c>
      <c r="AF156">
        <v>2</v>
      </c>
      <c r="AG156">
        <v>3.13</v>
      </c>
      <c r="AH156">
        <v>4</v>
      </c>
      <c r="AI156">
        <v>2.1800000000000002</v>
      </c>
      <c r="AJ156">
        <v>3.5</v>
      </c>
      <c r="AK156">
        <v>4.2</v>
      </c>
      <c r="AL156">
        <v>2.04</v>
      </c>
      <c r="AM156">
        <v>3.33</v>
      </c>
      <c r="AN156">
        <v>3.84</v>
      </c>
      <c r="AO156">
        <v>1</v>
      </c>
      <c r="AP156">
        <v>0.46687416629613099</v>
      </c>
      <c r="AQ156">
        <v>0.29079590929301902</v>
      </c>
      <c r="AR156">
        <v>0.242329924410849</v>
      </c>
      <c r="AS156">
        <v>1</v>
      </c>
      <c r="AT156">
        <v>1.7785682525566799E-2</v>
      </c>
      <c r="AU156">
        <v>0.98048877347996299</v>
      </c>
      <c r="AV156">
        <f t="shared" si="15"/>
        <v>99434.394428634288</v>
      </c>
      <c r="AW156">
        <f t="shared" si="16"/>
        <v>46423.35000002935</v>
      </c>
      <c r="AX156">
        <f t="shared" si="17"/>
        <v>28915.11514287542</v>
      </c>
      <c r="AY156">
        <f t="shared" si="18"/>
        <v>24095.929285729519</v>
      </c>
      <c r="AZ156" cm="1">
        <f t="array" ref="AZ156">_xlfn.IFS(E156="H",AW156*AI156-AV156,E156="D",AX156*AJ156-AV156,E156="A",AY156*AK156-AV156)</f>
        <v>1768.5085714296874</v>
      </c>
      <c r="BA156">
        <f t="shared" si="19"/>
        <v>7535.7567621428107</v>
      </c>
    </row>
    <row r="157" spans="1:53" x14ac:dyDescent="0.2">
      <c r="A157">
        <v>5</v>
      </c>
      <c r="B157" t="s">
        <v>198</v>
      </c>
      <c r="C157" s="1">
        <v>44123</v>
      </c>
      <c r="D157" t="s">
        <v>99</v>
      </c>
      <c r="E157" t="s">
        <v>57</v>
      </c>
      <c r="F157" t="s">
        <v>358</v>
      </c>
      <c r="G157" t="s">
        <v>249</v>
      </c>
      <c r="H157" t="s">
        <v>256</v>
      </c>
      <c r="I157" t="s">
        <v>359</v>
      </c>
      <c r="J157" t="s">
        <v>129</v>
      </c>
      <c r="K157" t="s">
        <v>54</v>
      </c>
      <c r="L157">
        <v>2020</v>
      </c>
      <c r="M157">
        <v>0.5</v>
      </c>
      <c r="N157">
        <v>1.5</v>
      </c>
      <c r="O157">
        <v>1</v>
      </c>
      <c r="P157">
        <v>1.5</v>
      </c>
      <c r="Q157">
        <v>2.4500000000000002</v>
      </c>
      <c r="R157">
        <v>3.3</v>
      </c>
      <c r="S157">
        <v>2.9</v>
      </c>
      <c r="T157">
        <v>2.4500000000000002</v>
      </c>
      <c r="U157">
        <v>3.3</v>
      </c>
      <c r="V157">
        <v>2.95</v>
      </c>
      <c r="W157">
        <v>2.5</v>
      </c>
      <c r="X157">
        <v>3.05</v>
      </c>
      <c r="Y157">
        <v>2.95</v>
      </c>
      <c r="Z157">
        <v>2.54</v>
      </c>
      <c r="AA157">
        <v>3.37</v>
      </c>
      <c r="AB157">
        <v>3.05</v>
      </c>
      <c r="AC157">
        <v>2.4500000000000002</v>
      </c>
      <c r="AD157">
        <v>3.3</v>
      </c>
      <c r="AE157">
        <v>3</v>
      </c>
      <c r="AF157">
        <v>2.4500000000000002</v>
      </c>
      <c r="AG157">
        <v>3.2</v>
      </c>
      <c r="AH157">
        <v>3</v>
      </c>
      <c r="AI157">
        <v>2.58</v>
      </c>
      <c r="AJ157">
        <v>3.5</v>
      </c>
      <c r="AK157">
        <v>3.1</v>
      </c>
      <c r="AL157">
        <v>2.4900000000000002</v>
      </c>
      <c r="AM157">
        <v>3.3</v>
      </c>
      <c r="AN157">
        <v>2.97</v>
      </c>
      <c r="AO157">
        <v>1</v>
      </c>
      <c r="AP157">
        <v>0.38919578161991503</v>
      </c>
      <c r="AQ157">
        <v>0.28689289045125099</v>
      </c>
      <c r="AR157">
        <v>0.32391132792883198</v>
      </c>
      <c r="AS157">
        <v>1</v>
      </c>
      <c r="AT157">
        <v>4.12511657938186E-3</v>
      </c>
      <c r="AU157">
        <v>0.98461389005934496</v>
      </c>
      <c r="AV157">
        <f t="shared" si="15"/>
        <v>106970.15119077711</v>
      </c>
      <c r="AW157">
        <f t="shared" si="16"/>
        <v>41632.331602695012</v>
      </c>
      <c r="AX157">
        <f t="shared" si="17"/>
        <v>30688.975867129469</v>
      </c>
      <c r="AY157">
        <f t="shared" si="18"/>
        <v>34648.843720952624</v>
      </c>
      <c r="AZ157" cm="1">
        <f t="array" ref="AZ157">_xlfn.IFS(E157="H",AW157*AI157-AV157,E157="D",AX157*AJ157-AV157,E157="A",AY157*AK157-AV157)</f>
        <v>441.26434417604469</v>
      </c>
      <c r="BA157">
        <f t="shared" si="19"/>
        <v>7977.0211063188553</v>
      </c>
    </row>
    <row r="158" spans="1:53" x14ac:dyDescent="0.2">
      <c r="A158">
        <v>5</v>
      </c>
      <c r="B158" t="s">
        <v>55</v>
      </c>
      <c r="C158" s="1">
        <v>44128</v>
      </c>
      <c r="D158" t="s">
        <v>190</v>
      </c>
      <c r="E158" t="s">
        <v>49</v>
      </c>
      <c r="F158" t="s">
        <v>220</v>
      </c>
      <c r="G158" t="s">
        <v>360</v>
      </c>
      <c r="H158">
        <v>300</v>
      </c>
      <c r="I158" t="s">
        <v>221</v>
      </c>
      <c r="J158" t="s">
        <v>197</v>
      </c>
      <c r="K158" t="s">
        <v>54</v>
      </c>
      <c r="L158">
        <v>2020</v>
      </c>
      <c r="M158">
        <v>1.5</v>
      </c>
      <c r="N158">
        <v>1.75</v>
      </c>
      <c r="O158">
        <v>0</v>
      </c>
      <c r="P158">
        <v>0.25</v>
      </c>
      <c r="Q158">
        <v>1.1599999999999999</v>
      </c>
      <c r="R158">
        <v>6.5</v>
      </c>
      <c r="S158">
        <v>12</v>
      </c>
      <c r="T158">
        <v>1.2</v>
      </c>
      <c r="U158">
        <v>7</v>
      </c>
      <c r="V158">
        <v>13</v>
      </c>
      <c r="W158">
        <v>1.27</v>
      </c>
      <c r="X158">
        <v>6.25</v>
      </c>
      <c r="Y158">
        <v>10</v>
      </c>
      <c r="Z158">
        <v>1.22</v>
      </c>
      <c r="AA158">
        <v>6.84</v>
      </c>
      <c r="AB158">
        <v>13.92</v>
      </c>
      <c r="AC158">
        <v>1.2</v>
      </c>
      <c r="AD158">
        <v>6.5</v>
      </c>
      <c r="AE158">
        <v>13</v>
      </c>
      <c r="AF158">
        <v>1.2</v>
      </c>
      <c r="AG158">
        <v>7</v>
      </c>
      <c r="AH158">
        <v>12</v>
      </c>
      <c r="AI158">
        <v>1.27</v>
      </c>
      <c r="AJ158">
        <v>7.55</v>
      </c>
      <c r="AK158">
        <v>16.75</v>
      </c>
      <c r="AL158">
        <v>1.21</v>
      </c>
      <c r="AM158">
        <v>6.84</v>
      </c>
      <c r="AN158">
        <v>13.27</v>
      </c>
      <c r="AO158">
        <v>1</v>
      </c>
      <c r="AP158">
        <v>0.803837316103442</v>
      </c>
      <c r="AQ158">
        <v>0.135215018735281</v>
      </c>
      <c r="AR158">
        <v>6.09476651612759E-2</v>
      </c>
      <c r="AS158">
        <v>1</v>
      </c>
      <c r="AT158">
        <v>2.08733914513725E-2</v>
      </c>
      <c r="AU158">
        <v>1.0054872815107101</v>
      </c>
      <c r="AV158">
        <f t="shared" si="15"/>
        <v>114947.17229709597</v>
      </c>
      <c r="AW158">
        <f t="shared" si="16"/>
        <v>92398.826472977642</v>
      </c>
      <c r="AX158">
        <f t="shared" si="17"/>
        <v>15542.584055719419</v>
      </c>
      <c r="AY158">
        <f t="shared" si="18"/>
        <v>7005.7617683989019</v>
      </c>
      <c r="AZ158" cm="1">
        <f t="array" ref="AZ158">_xlfn.IFS(E158="H",AW158*AI158-AV158,E158="D",AX158*AJ158-AV158,E158="A",AY158*AK158-AV158)</f>
        <v>2399.3373235856416</v>
      </c>
      <c r="BA158">
        <f t="shared" si="19"/>
        <v>10376.358429904496</v>
      </c>
    </row>
    <row r="159" spans="1:53" x14ac:dyDescent="0.2">
      <c r="A159">
        <v>8</v>
      </c>
      <c r="B159" t="s">
        <v>55</v>
      </c>
      <c r="C159" s="1">
        <v>44128</v>
      </c>
      <c r="D159" t="s">
        <v>82</v>
      </c>
      <c r="E159" t="s">
        <v>74</v>
      </c>
      <c r="F159" t="s">
        <v>340</v>
      </c>
      <c r="G159" t="s">
        <v>59</v>
      </c>
      <c r="H159" t="s">
        <v>256</v>
      </c>
      <c r="I159" t="s">
        <v>341</v>
      </c>
      <c r="J159" t="s">
        <v>61</v>
      </c>
      <c r="K159" t="s">
        <v>54</v>
      </c>
      <c r="L159">
        <v>2020</v>
      </c>
      <c r="M159">
        <v>1.3333333333333299</v>
      </c>
      <c r="N159">
        <v>2</v>
      </c>
      <c r="O159">
        <v>2.5</v>
      </c>
      <c r="P159">
        <v>2</v>
      </c>
      <c r="Q159">
        <v>2.87</v>
      </c>
      <c r="R159">
        <v>3.4</v>
      </c>
      <c r="S159">
        <v>2.4</v>
      </c>
      <c r="T159">
        <v>3</v>
      </c>
      <c r="U159">
        <v>3.25</v>
      </c>
      <c r="V159">
        <v>2.4500000000000002</v>
      </c>
      <c r="W159">
        <v>2.95</v>
      </c>
      <c r="X159">
        <v>3.05</v>
      </c>
      <c r="Y159">
        <v>2.5</v>
      </c>
      <c r="Z159">
        <v>3.05</v>
      </c>
      <c r="AA159">
        <v>3.3</v>
      </c>
      <c r="AB159">
        <v>2.56</v>
      </c>
      <c r="AC159">
        <v>2.9</v>
      </c>
      <c r="AD159">
        <v>3.25</v>
      </c>
      <c r="AE159">
        <v>2.4500000000000002</v>
      </c>
      <c r="AF159">
        <v>3</v>
      </c>
      <c r="AG159">
        <v>3.3</v>
      </c>
      <c r="AH159">
        <v>2.4</v>
      </c>
      <c r="AI159">
        <v>3.11</v>
      </c>
      <c r="AJ159">
        <v>3.46</v>
      </c>
      <c r="AK159">
        <v>2.57</v>
      </c>
      <c r="AL159">
        <v>2.96</v>
      </c>
      <c r="AM159">
        <v>3.26</v>
      </c>
      <c r="AN159">
        <v>2.46</v>
      </c>
      <c r="AO159">
        <v>1</v>
      </c>
      <c r="AP159">
        <v>0.321650901593387</v>
      </c>
      <c r="AQ159">
        <v>0.28911396068076101</v>
      </c>
      <c r="AR159">
        <v>0.38923513772585</v>
      </c>
      <c r="AS159">
        <v>1</v>
      </c>
      <c r="AT159" s="2">
        <v>3.3430395543576603E-4</v>
      </c>
      <c r="AU159">
        <v>1.0058215854661501</v>
      </c>
      <c r="AV159">
        <f t="shared" si="15"/>
        <v>125323.53072700047</v>
      </c>
      <c r="AW159">
        <f t="shared" si="16"/>
        <v>40310.426649206333</v>
      </c>
      <c r="AX159">
        <f t="shared" si="17"/>
        <v>36232.782334980257</v>
      </c>
      <c r="AY159">
        <f t="shared" si="18"/>
        <v>48780.321742813889</v>
      </c>
      <c r="AZ159" cm="1">
        <f t="array" ref="AZ159">_xlfn.IFS(E159="H",AW159*AI159-AV159,E159="D",AX159*AJ159-AV159,E159="A",AY159*AK159-AV159)</f>
        <v>41.896152031215024</v>
      </c>
      <c r="BA159">
        <f t="shared" si="19"/>
        <v>10418.254581935711</v>
      </c>
    </row>
    <row r="160" spans="1:53" x14ac:dyDescent="0.2">
      <c r="A160">
        <v>8</v>
      </c>
      <c r="B160" t="s">
        <v>67</v>
      </c>
      <c r="C160" s="1">
        <v>44129</v>
      </c>
      <c r="D160" t="s">
        <v>90</v>
      </c>
      <c r="E160" t="s">
        <v>74</v>
      </c>
      <c r="F160" t="s">
        <v>64</v>
      </c>
      <c r="G160" t="s">
        <v>216</v>
      </c>
      <c r="H160" t="s">
        <v>256</v>
      </c>
      <c r="I160" t="s">
        <v>105</v>
      </c>
      <c r="J160" t="s">
        <v>361</v>
      </c>
      <c r="K160" t="s">
        <v>54</v>
      </c>
      <c r="L160">
        <v>2020</v>
      </c>
      <c r="M160">
        <v>2.25</v>
      </c>
      <c r="N160">
        <v>2.25</v>
      </c>
      <c r="O160">
        <v>0.5</v>
      </c>
      <c r="P160">
        <v>1.25</v>
      </c>
      <c r="Q160">
        <v>1.85</v>
      </c>
      <c r="R160">
        <v>3.5</v>
      </c>
      <c r="S160">
        <v>4.2</v>
      </c>
      <c r="T160">
        <v>2.0499999999999998</v>
      </c>
      <c r="U160">
        <v>3.3</v>
      </c>
      <c r="V160">
        <v>3.9</v>
      </c>
      <c r="W160">
        <v>2.2000000000000002</v>
      </c>
      <c r="X160">
        <v>3.05</v>
      </c>
      <c r="Y160">
        <v>3.5</v>
      </c>
      <c r="Z160">
        <v>2.21</v>
      </c>
      <c r="AA160">
        <v>3.37</v>
      </c>
      <c r="AB160">
        <v>3.58</v>
      </c>
      <c r="AC160">
        <v>2.1</v>
      </c>
      <c r="AD160">
        <v>3.2</v>
      </c>
      <c r="AE160">
        <v>3.7</v>
      </c>
      <c r="AF160">
        <v>2.1</v>
      </c>
      <c r="AG160">
        <v>3.1</v>
      </c>
      <c r="AH160">
        <v>3.7</v>
      </c>
      <c r="AI160">
        <v>2.17</v>
      </c>
      <c r="AJ160">
        <v>3.5</v>
      </c>
      <c r="AK160">
        <v>4.2</v>
      </c>
      <c r="AL160">
        <v>2.08</v>
      </c>
      <c r="AM160">
        <v>3.28</v>
      </c>
      <c r="AN160">
        <v>3.72</v>
      </c>
      <c r="AO160">
        <v>1</v>
      </c>
      <c r="AP160">
        <v>0.468018720748829</v>
      </c>
      <c r="AQ160">
        <v>0.29017160686427401</v>
      </c>
      <c r="AR160">
        <v>0.24180967238689499</v>
      </c>
      <c r="AS160">
        <v>1</v>
      </c>
      <c r="AT160">
        <v>1.5600624024961001E-2</v>
      </c>
      <c r="AU160">
        <v>1.0214222094911101</v>
      </c>
      <c r="AV160">
        <f t="shared" si="15"/>
        <v>135741.78530893617</v>
      </c>
      <c r="AW160">
        <f t="shared" si="16"/>
        <v>63529.696712450626</v>
      </c>
      <c r="AX160">
        <f t="shared" si="17"/>
        <v>39388.411961719386</v>
      </c>
      <c r="AY160">
        <f t="shared" si="18"/>
        <v>32823.676634766154</v>
      </c>
      <c r="AZ160" cm="1">
        <f t="array" ref="AZ160">_xlfn.IFS(E160="H",AW160*AI160-AV160,E160="D",AX160*AJ160-AV160,E160="A",AY160*AK160-AV160)</f>
        <v>2117.6565570816747</v>
      </c>
      <c r="BA160">
        <f t="shared" si="19"/>
        <v>12535.911139017386</v>
      </c>
    </row>
    <row r="161" spans="1:53" x14ac:dyDescent="0.2">
      <c r="A161">
        <v>6</v>
      </c>
      <c r="B161" t="s">
        <v>198</v>
      </c>
      <c r="C161" s="1">
        <v>44130</v>
      </c>
      <c r="D161" t="s">
        <v>362</v>
      </c>
      <c r="E161" t="s">
        <v>74</v>
      </c>
      <c r="F161" t="s">
        <v>249</v>
      </c>
      <c r="G161" t="s">
        <v>227</v>
      </c>
      <c r="H161" t="s">
        <v>256</v>
      </c>
      <c r="I161" t="s">
        <v>363</v>
      </c>
      <c r="J161" t="s">
        <v>215</v>
      </c>
      <c r="K161" t="s">
        <v>54</v>
      </c>
      <c r="L161">
        <v>2020</v>
      </c>
      <c r="M161">
        <v>0.5</v>
      </c>
      <c r="N161">
        <v>0.75</v>
      </c>
      <c r="O161">
        <v>2.5</v>
      </c>
      <c r="P161">
        <v>3.75</v>
      </c>
      <c r="Q161">
        <v>5.75</v>
      </c>
      <c r="R161">
        <v>4</v>
      </c>
      <c r="S161">
        <v>1.6</v>
      </c>
      <c r="T161">
        <v>5.5</v>
      </c>
      <c r="U161">
        <v>4</v>
      </c>
      <c r="V161">
        <v>1.62</v>
      </c>
      <c r="W161">
        <v>5.5</v>
      </c>
      <c r="X161">
        <v>3.75</v>
      </c>
      <c r="Y161">
        <v>1.65</v>
      </c>
      <c r="Z161">
        <v>5.63</v>
      </c>
      <c r="AA161">
        <v>4.1500000000000004</v>
      </c>
      <c r="AB161">
        <v>1.66</v>
      </c>
      <c r="AC161">
        <v>5.8</v>
      </c>
      <c r="AD161">
        <v>3.9</v>
      </c>
      <c r="AE161">
        <v>1.6</v>
      </c>
      <c r="AF161">
        <v>6</v>
      </c>
      <c r="AG161">
        <v>3.9</v>
      </c>
      <c r="AH161">
        <v>1.6</v>
      </c>
      <c r="AI161">
        <v>6</v>
      </c>
      <c r="AJ161">
        <v>4.22</v>
      </c>
      <c r="AK161">
        <v>1.68</v>
      </c>
      <c r="AL161">
        <v>5.49</v>
      </c>
      <c r="AM161">
        <v>4.0199999999999996</v>
      </c>
      <c r="AN161">
        <v>1.63</v>
      </c>
      <c r="AO161">
        <v>1</v>
      </c>
      <c r="AP161">
        <v>0.166854948034342</v>
      </c>
      <c r="AQ161">
        <v>0.23723452327157701</v>
      </c>
      <c r="AR161">
        <v>0.59591052869408001</v>
      </c>
      <c r="AS161">
        <v>1</v>
      </c>
      <c r="AT161">
        <v>1.1296882060551901E-3</v>
      </c>
      <c r="AU161">
        <v>1.0225518976971699</v>
      </c>
      <c r="AV161">
        <f t="shared" si="15"/>
        <v>148277.69644795355</v>
      </c>
      <c r="AW161">
        <f t="shared" si="16"/>
        <v>24740.867335475305</v>
      </c>
      <c r="AX161">
        <f t="shared" si="17"/>
        <v>35176.588628637874</v>
      </c>
      <c r="AY161">
        <f t="shared" si="18"/>
        <v>88360.240483840375</v>
      </c>
      <c r="AZ161" cm="1">
        <f t="array" ref="AZ161">_xlfn.IFS(E161="H",AW161*AI161-AV161,E161="D",AX161*AJ161-AV161,E161="A",AY161*AK161-AV161)</f>
        <v>167.50756489826017</v>
      </c>
      <c r="BA161">
        <f t="shared" si="19"/>
        <v>12703.418703915646</v>
      </c>
    </row>
    <row r="162" spans="1:53" x14ac:dyDescent="0.2">
      <c r="A162">
        <v>6</v>
      </c>
      <c r="B162" t="s">
        <v>47</v>
      </c>
      <c r="C162" s="1">
        <v>44134</v>
      </c>
      <c r="D162" t="s">
        <v>169</v>
      </c>
      <c r="E162" t="s">
        <v>57</v>
      </c>
      <c r="F162" t="s">
        <v>360</v>
      </c>
      <c r="G162" t="s">
        <v>364</v>
      </c>
      <c r="H162" t="s">
        <v>256</v>
      </c>
      <c r="I162" t="s">
        <v>365</v>
      </c>
      <c r="J162" t="s">
        <v>366</v>
      </c>
      <c r="K162" t="s">
        <v>54</v>
      </c>
      <c r="L162">
        <v>2020</v>
      </c>
      <c r="M162">
        <v>0.5</v>
      </c>
      <c r="N162">
        <v>1</v>
      </c>
      <c r="O162">
        <v>3</v>
      </c>
      <c r="P162">
        <v>3</v>
      </c>
      <c r="Q162">
        <v>3.1</v>
      </c>
      <c r="R162">
        <v>3.6</v>
      </c>
      <c r="S162">
        <v>2.15</v>
      </c>
      <c r="T162">
        <v>3.1</v>
      </c>
      <c r="U162">
        <v>3.6</v>
      </c>
      <c r="V162">
        <v>2.2000000000000002</v>
      </c>
      <c r="W162">
        <v>2.95</v>
      </c>
      <c r="X162">
        <v>3.5</v>
      </c>
      <c r="Y162">
        <v>2.35</v>
      </c>
      <c r="Z162">
        <v>3.23</v>
      </c>
      <c r="AA162">
        <v>3.67</v>
      </c>
      <c r="AB162">
        <v>2.27</v>
      </c>
      <c r="AC162">
        <v>3.1</v>
      </c>
      <c r="AD162">
        <v>3.5</v>
      </c>
      <c r="AE162">
        <v>2.2000000000000002</v>
      </c>
      <c r="AF162">
        <v>3.1</v>
      </c>
      <c r="AG162">
        <v>3.6</v>
      </c>
      <c r="AH162">
        <v>2.2000000000000002</v>
      </c>
      <c r="AI162">
        <v>3.41</v>
      </c>
      <c r="AJ162">
        <v>3.75</v>
      </c>
      <c r="AK162">
        <v>2.35</v>
      </c>
      <c r="AL162">
        <v>3.15</v>
      </c>
      <c r="AM162">
        <v>3.61</v>
      </c>
      <c r="AN162">
        <v>2.23</v>
      </c>
      <c r="AO162">
        <v>1</v>
      </c>
      <c r="AP162">
        <v>0.29758387222043903</v>
      </c>
      <c r="AQ162">
        <v>0.27060293447245298</v>
      </c>
      <c r="AR162">
        <v>0.43181319330710599</v>
      </c>
      <c r="AS162">
        <v>1</v>
      </c>
      <c r="AT162">
        <v>1.4761004271700301E-2</v>
      </c>
      <c r="AU162">
        <v>1.03731290196887</v>
      </c>
      <c r="AV162">
        <f t="shared" si="15"/>
        <v>160981.11515186919</v>
      </c>
      <c r="AW162">
        <f t="shared" si="16"/>
        <v>47905.383601257774</v>
      </c>
      <c r="AX162">
        <f t="shared" si="17"/>
        <v>43561.962154743742</v>
      </c>
      <c r="AY162">
        <f t="shared" si="18"/>
        <v>69513.769395867683</v>
      </c>
      <c r="AZ162" cm="1">
        <f t="array" ref="AZ162">_xlfn.IFS(E162="H",AW162*AI162-AV162,E162="D",AX162*AJ162-AV162,E162="A",AY162*AK162-AV162)</f>
        <v>2376.2429284198442</v>
      </c>
      <c r="BA162">
        <f t="shared" si="19"/>
        <v>15079.66163233549</v>
      </c>
    </row>
    <row r="163" spans="1:53" x14ac:dyDescent="0.2">
      <c r="A163">
        <v>6</v>
      </c>
      <c r="B163" t="s">
        <v>55</v>
      </c>
      <c r="C163" s="1">
        <v>44135</v>
      </c>
      <c r="D163" t="s">
        <v>170</v>
      </c>
      <c r="E163" t="s">
        <v>49</v>
      </c>
      <c r="F163" t="s">
        <v>148</v>
      </c>
      <c r="G163" t="s">
        <v>75</v>
      </c>
      <c r="H163" t="s">
        <v>256</v>
      </c>
      <c r="I163" t="s">
        <v>367</v>
      </c>
      <c r="J163" t="s">
        <v>258</v>
      </c>
      <c r="K163" t="s">
        <v>54</v>
      </c>
      <c r="L163">
        <v>2020</v>
      </c>
      <c r="M163">
        <v>0.75</v>
      </c>
      <c r="N163">
        <v>1</v>
      </c>
      <c r="O163">
        <v>0.75</v>
      </c>
      <c r="P163">
        <v>0.75</v>
      </c>
      <c r="Q163">
        <v>2</v>
      </c>
      <c r="R163">
        <v>3.75</v>
      </c>
      <c r="S163">
        <v>3.5</v>
      </c>
      <c r="T163">
        <v>2</v>
      </c>
      <c r="U163">
        <v>3.6</v>
      </c>
      <c r="V163">
        <v>3.7</v>
      </c>
      <c r="W163">
        <v>2.0499999999999998</v>
      </c>
      <c r="X163">
        <v>3.45</v>
      </c>
      <c r="Y163">
        <v>3.5</v>
      </c>
      <c r="Z163">
        <v>2.09</v>
      </c>
      <c r="AA163">
        <v>3.71</v>
      </c>
      <c r="AB163">
        <v>3.64</v>
      </c>
      <c r="AC163">
        <v>2</v>
      </c>
      <c r="AD163">
        <v>3.5</v>
      </c>
      <c r="AE163">
        <v>3.6</v>
      </c>
      <c r="AF163">
        <v>2</v>
      </c>
      <c r="AG163">
        <v>3.8</v>
      </c>
      <c r="AH163">
        <v>3.4</v>
      </c>
      <c r="AI163">
        <v>2.11</v>
      </c>
      <c r="AJ163">
        <v>3.87</v>
      </c>
      <c r="AK163">
        <v>3.8</v>
      </c>
      <c r="AL163">
        <v>2.0299999999999998</v>
      </c>
      <c r="AM163">
        <v>3.62</v>
      </c>
      <c r="AN163">
        <v>3.61</v>
      </c>
      <c r="AO163">
        <v>1</v>
      </c>
      <c r="AP163">
        <v>0.47608102377167699</v>
      </c>
      <c r="AQ163">
        <v>0.25956872355510002</v>
      </c>
      <c r="AR163">
        <v>0.26435025267322099</v>
      </c>
      <c r="AS163">
        <v>1</v>
      </c>
      <c r="AT163">
        <v>4.5309601582403901E-3</v>
      </c>
      <c r="AU163">
        <v>1.04184386212711</v>
      </c>
      <c r="AV163">
        <f t="shared" si="15"/>
        <v>176060.77678420467</v>
      </c>
      <c r="AW163">
        <f t="shared" si="16"/>
        <v>83819.194857461029</v>
      </c>
      <c r="AX163">
        <f t="shared" si="17"/>
        <v>45699.871097995543</v>
      </c>
      <c r="AY163">
        <f t="shared" si="18"/>
        <v>46541.710828748095</v>
      </c>
      <c r="AZ163" cm="1">
        <f t="array" ref="AZ163">_xlfn.IFS(E163="H",AW163*AI163-AV163,E163="D",AX163*AJ163-AV163,E163="A",AY163*AK163-AV163)</f>
        <v>797.72436503809877</v>
      </c>
      <c r="BA163">
        <f t="shared" si="19"/>
        <v>15877.385997373589</v>
      </c>
    </row>
    <row r="164" spans="1:53" x14ac:dyDescent="0.2">
      <c r="A164">
        <v>6</v>
      </c>
      <c r="B164" t="s">
        <v>55</v>
      </c>
      <c r="C164" s="1">
        <v>44135</v>
      </c>
      <c r="D164" t="s">
        <v>160</v>
      </c>
      <c r="E164" t="s">
        <v>49</v>
      </c>
      <c r="F164" t="s">
        <v>76</v>
      </c>
      <c r="G164" t="s">
        <v>204</v>
      </c>
      <c r="H164" t="s">
        <v>256</v>
      </c>
      <c r="I164" t="s">
        <v>149</v>
      </c>
      <c r="J164" t="s">
        <v>335</v>
      </c>
      <c r="K164" t="s">
        <v>54</v>
      </c>
      <c r="L164">
        <v>2020</v>
      </c>
      <c r="M164">
        <v>2</v>
      </c>
      <c r="N164">
        <v>1.75</v>
      </c>
      <c r="O164">
        <v>2.5</v>
      </c>
      <c r="P164">
        <v>1.75</v>
      </c>
      <c r="Q164">
        <v>3</v>
      </c>
      <c r="R164">
        <v>3.6</v>
      </c>
      <c r="S164">
        <v>2.25</v>
      </c>
      <c r="T164">
        <v>2.9</v>
      </c>
      <c r="U164">
        <v>3.7</v>
      </c>
      <c r="V164">
        <v>2.2999999999999998</v>
      </c>
      <c r="W164">
        <v>2.95</v>
      </c>
      <c r="X164">
        <v>3.4</v>
      </c>
      <c r="Y164">
        <v>2.2999999999999998</v>
      </c>
      <c r="Z164">
        <v>3.02</v>
      </c>
      <c r="AA164">
        <v>3.73</v>
      </c>
      <c r="AB164">
        <v>2.36</v>
      </c>
      <c r="AC164">
        <v>3</v>
      </c>
      <c r="AD164">
        <v>3.5</v>
      </c>
      <c r="AE164">
        <v>2.2999999999999998</v>
      </c>
      <c r="AF164">
        <v>2.8</v>
      </c>
      <c r="AG164">
        <v>3.75</v>
      </c>
      <c r="AH164">
        <v>2.2999999999999998</v>
      </c>
      <c r="AI164">
        <v>3.13</v>
      </c>
      <c r="AJ164">
        <v>3.8</v>
      </c>
      <c r="AK164">
        <v>2.41</v>
      </c>
      <c r="AL164">
        <v>2.96</v>
      </c>
      <c r="AM164">
        <v>3.63</v>
      </c>
      <c r="AN164">
        <v>2.31</v>
      </c>
      <c r="AO164">
        <v>1</v>
      </c>
      <c r="AP164">
        <v>0.32026242074746503</v>
      </c>
      <c r="AQ164">
        <v>0.26379509919462202</v>
      </c>
      <c r="AR164">
        <v>0.41594248005791101</v>
      </c>
      <c r="AS164">
        <v>1</v>
      </c>
      <c r="AT164">
        <v>2.4213769395671201E-3</v>
      </c>
      <c r="AU164">
        <v>1.04426523906667</v>
      </c>
      <c r="AV164">
        <f t="shared" si="15"/>
        <v>191938.16278157826</v>
      </c>
      <c r="AW164">
        <f t="shared" si="16"/>
        <v>61470.580646249342</v>
      </c>
      <c r="AX164">
        <f t="shared" si="17"/>
        <v>50632.346690200109</v>
      </c>
      <c r="AY164">
        <f t="shared" si="18"/>
        <v>79835.235445128797</v>
      </c>
      <c r="AZ164" cm="1">
        <f t="array" ref="AZ164">_xlfn.IFS(E164="H",AW164*AI164-AV164,E164="D",AX164*AJ164-AV164,E164="A",AY164*AK164-AV164)</f>
        <v>464.75464118216769</v>
      </c>
      <c r="BA164">
        <f t="shared" si="19"/>
        <v>16342.140638555757</v>
      </c>
    </row>
    <row r="165" spans="1:53" x14ac:dyDescent="0.2">
      <c r="A165">
        <v>7</v>
      </c>
      <c r="B165" t="s">
        <v>55</v>
      </c>
      <c r="C165" s="1">
        <v>44135</v>
      </c>
      <c r="D165" t="s">
        <v>368</v>
      </c>
      <c r="E165" t="s">
        <v>74</v>
      </c>
      <c r="F165" t="s">
        <v>249</v>
      </c>
      <c r="G165" t="s">
        <v>91</v>
      </c>
      <c r="H165" t="s">
        <v>256</v>
      </c>
      <c r="I165" t="s">
        <v>363</v>
      </c>
      <c r="J165" t="s">
        <v>232</v>
      </c>
      <c r="K165" t="s">
        <v>54</v>
      </c>
      <c r="L165">
        <v>2020</v>
      </c>
      <c r="M165">
        <v>0.25</v>
      </c>
      <c r="N165">
        <v>0.5</v>
      </c>
      <c r="O165">
        <v>1.25</v>
      </c>
      <c r="P165">
        <v>2.25</v>
      </c>
      <c r="Q165">
        <v>6</v>
      </c>
      <c r="R165">
        <v>4.5</v>
      </c>
      <c r="S165">
        <v>1.5</v>
      </c>
      <c r="T165">
        <v>6.25</v>
      </c>
      <c r="U165">
        <v>4.5</v>
      </c>
      <c r="V165">
        <v>1.5</v>
      </c>
      <c r="W165">
        <v>5.75</v>
      </c>
      <c r="X165">
        <v>4.0999999999999996</v>
      </c>
      <c r="Y165">
        <v>1.57</v>
      </c>
      <c r="Z165">
        <v>6.32</v>
      </c>
      <c r="AA165">
        <v>4.3899999999999997</v>
      </c>
      <c r="AB165">
        <v>1.56</v>
      </c>
      <c r="AC165">
        <v>6</v>
      </c>
      <c r="AD165">
        <v>4.33</v>
      </c>
      <c r="AE165">
        <v>1.53</v>
      </c>
      <c r="AF165">
        <v>6.5</v>
      </c>
      <c r="AG165">
        <v>4.33</v>
      </c>
      <c r="AH165">
        <v>1.5</v>
      </c>
      <c r="AI165">
        <v>6.5</v>
      </c>
      <c r="AJ165">
        <v>4.6900000000000004</v>
      </c>
      <c r="AK165">
        <v>1.59</v>
      </c>
      <c r="AL165">
        <v>6.05</v>
      </c>
      <c r="AM165">
        <v>4.37</v>
      </c>
      <c r="AN165">
        <v>1.54</v>
      </c>
      <c r="AO165">
        <v>1</v>
      </c>
      <c r="AP165">
        <v>0.15446453908789001</v>
      </c>
      <c r="AQ165">
        <v>0.214076653320104</v>
      </c>
      <c r="AR165">
        <v>0.63145880759200501</v>
      </c>
      <c r="AS165">
        <v>1</v>
      </c>
      <c r="AT165">
        <v>4.0195040712884796E-3</v>
      </c>
      <c r="AU165">
        <v>1.0482847431379601</v>
      </c>
      <c r="AV165">
        <f t="shared" si="15"/>
        <v>208280.30342013401</v>
      </c>
      <c r="AW165">
        <f t="shared" si="16"/>
        <v>32171.921068876993</v>
      </c>
      <c r="AX165">
        <f t="shared" si="17"/>
        <v>44587.950308678133</v>
      </c>
      <c r="AY165">
        <f t="shared" si="18"/>
        <v>131520.43204257888</v>
      </c>
      <c r="AZ165" cm="1">
        <f t="array" ref="AZ165">_xlfn.IFS(E165="H",AW165*AI165-AV165,E165="D",AX165*AJ165-AV165,E165="A",AY165*AK165-AV165)</f>
        <v>837.18352756640525</v>
      </c>
      <c r="BA165">
        <f t="shared" si="19"/>
        <v>17179.324166122162</v>
      </c>
    </row>
    <row r="166" spans="1:53" x14ac:dyDescent="0.2">
      <c r="A166">
        <v>6</v>
      </c>
      <c r="B166" t="s">
        <v>67</v>
      </c>
      <c r="C166" s="1">
        <v>44136</v>
      </c>
      <c r="D166" t="s">
        <v>107</v>
      </c>
      <c r="E166" t="s">
        <v>49</v>
      </c>
      <c r="F166" t="s">
        <v>108</v>
      </c>
      <c r="G166" t="s">
        <v>181</v>
      </c>
      <c r="H166" t="s">
        <v>256</v>
      </c>
      <c r="I166" t="s">
        <v>110</v>
      </c>
      <c r="J166" t="s">
        <v>277</v>
      </c>
      <c r="K166" t="s">
        <v>54</v>
      </c>
      <c r="L166">
        <v>2020</v>
      </c>
      <c r="M166">
        <v>2</v>
      </c>
      <c r="N166">
        <v>2.75</v>
      </c>
      <c r="O166">
        <v>1</v>
      </c>
      <c r="P166">
        <v>2.25</v>
      </c>
      <c r="Q166">
        <v>1.75</v>
      </c>
      <c r="R166">
        <v>3.8</v>
      </c>
      <c r="S166">
        <v>4.2</v>
      </c>
      <c r="T166">
        <v>1.8</v>
      </c>
      <c r="U166">
        <v>4</v>
      </c>
      <c r="V166">
        <v>4.0999999999999996</v>
      </c>
      <c r="W166">
        <v>1.85</v>
      </c>
      <c r="X166">
        <v>3.8</v>
      </c>
      <c r="Y166">
        <v>3.9</v>
      </c>
      <c r="Z166">
        <v>1.86</v>
      </c>
      <c r="AA166">
        <v>4.07</v>
      </c>
      <c r="AB166">
        <v>4.16</v>
      </c>
      <c r="AC166">
        <v>1.83</v>
      </c>
      <c r="AD166">
        <v>3.9</v>
      </c>
      <c r="AE166">
        <v>4</v>
      </c>
      <c r="AF166">
        <v>1.8</v>
      </c>
      <c r="AG166">
        <v>3.7</v>
      </c>
      <c r="AH166">
        <v>4.2</v>
      </c>
      <c r="AI166">
        <v>1.91</v>
      </c>
      <c r="AJ166">
        <v>4.2</v>
      </c>
      <c r="AK166">
        <v>4.33</v>
      </c>
      <c r="AL166">
        <v>1.83</v>
      </c>
      <c r="AM166">
        <v>3.95</v>
      </c>
      <c r="AN166">
        <v>4.04</v>
      </c>
      <c r="AO166">
        <v>1</v>
      </c>
      <c r="AP166">
        <v>0.52746220086257101</v>
      </c>
      <c r="AQ166">
        <v>0.23986971515416899</v>
      </c>
      <c r="AR166">
        <v>0.232668083983259</v>
      </c>
      <c r="AS166">
        <v>1</v>
      </c>
      <c r="AT166">
        <v>7.4528036475116598E-3</v>
      </c>
      <c r="AU166">
        <v>1.0557375467854699</v>
      </c>
      <c r="AV166">
        <f t="shared" si="15"/>
        <v>225459.62758625616</v>
      </c>
      <c r="AW166">
        <f t="shared" si="16"/>
        <v>118921.43137230242</v>
      </c>
      <c r="AX166">
        <f t="shared" si="17"/>
        <v>54080.936647880379</v>
      </c>
      <c r="AY166">
        <f t="shared" si="18"/>
        <v>52457.259566073357</v>
      </c>
      <c r="AZ166" cm="1">
        <f t="array" ref="AZ166">_xlfn.IFS(E166="H",AW166*AI166-AV166,E166="D",AX166*AJ166-AV166,E166="A",AY166*AK166-AV166)</f>
        <v>1680.3063348414726</v>
      </c>
      <c r="BA166">
        <f t="shared" si="19"/>
        <v>18859.630500963634</v>
      </c>
    </row>
    <row r="167" spans="1:53" x14ac:dyDescent="0.2">
      <c r="A167">
        <v>7</v>
      </c>
      <c r="B167" t="s">
        <v>47</v>
      </c>
      <c r="C167" s="1">
        <v>44141</v>
      </c>
      <c r="D167" t="s">
        <v>48</v>
      </c>
      <c r="E167" t="s">
        <v>57</v>
      </c>
      <c r="F167" t="s">
        <v>109</v>
      </c>
      <c r="G167" t="s">
        <v>314</v>
      </c>
      <c r="H167" t="s">
        <v>256</v>
      </c>
      <c r="I167" t="s">
        <v>123</v>
      </c>
      <c r="J167" t="s">
        <v>369</v>
      </c>
      <c r="K167" t="s">
        <v>54</v>
      </c>
      <c r="L167">
        <v>2020</v>
      </c>
      <c r="M167">
        <v>1.25</v>
      </c>
      <c r="N167">
        <v>2</v>
      </c>
      <c r="O167">
        <v>1.5</v>
      </c>
      <c r="P167">
        <v>1</v>
      </c>
      <c r="Q167">
        <v>2.15</v>
      </c>
      <c r="R167">
        <v>3.8</v>
      </c>
      <c r="S167">
        <v>3.1</v>
      </c>
      <c r="T167">
        <v>2.15</v>
      </c>
      <c r="U167">
        <v>3.7</v>
      </c>
      <c r="V167">
        <v>3.2</v>
      </c>
      <c r="W167">
        <v>2.2000000000000002</v>
      </c>
      <c r="X167">
        <v>3.7</v>
      </c>
      <c r="Y167">
        <v>3.15</v>
      </c>
      <c r="Z167">
        <v>2.2400000000000002</v>
      </c>
      <c r="AA167">
        <v>3.79</v>
      </c>
      <c r="AB167">
        <v>3.21</v>
      </c>
      <c r="AC167">
        <v>2.15</v>
      </c>
      <c r="AD167">
        <v>3.7</v>
      </c>
      <c r="AE167">
        <v>3.2</v>
      </c>
      <c r="AF167">
        <v>2.15</v>
      </c>
      <c r="AG167">
        <v>3.5</v>
      </c>
      <c r="AH167">
        <v>3.2</v>
      </c>
      <c r="AI167">
        <v>2.2599999999999998</v>
      </c>
      <c r="AJ167">
        <v>3.92</v>
      </c>
      <c r="AK167">
        <v>3.48</v>
      </c>
      <c r="AL167">
        <v>2.1800000000000002</v>
      </c>
      <c r="AM167">
        <v>3.71</v>
      </c>
      <c r="AN167">
        <v>3.17</v>
      </c>
      <c r="AO167">
        <v>1</v>
      </c>
      <c r="AP167">
        <v>0.44924519851410799</v>
      </c>
      <c r="AQ167">
        <v>0.25900360934741901</v>
      </c>
      <c r="AR167">
        <v>0.291751192138472</v>
      </c>
      <c r="AS167">
        <v>1</v>
      </c>
      <c r="AT167">
        <v>1.5294148641884201E-2</v>
      </c>
      <c r="AU167">
        <v>1.07103169542736</v>
      </c>
      <c r="AV167">
        <f t="shared" si="15"/>
        <v>244319.25808721979</v>
      </c>
      <c r="AW167">
        <f t="shared" si="16"/>
        <v>109759.25360021266</v>
      </c>
      <c r="AX167">
        <f t="shared" si="17"/>
        <v>63279.569677673629</v>
      </c>
      <c r="AY167">
        <f t="shared" si="18"/>
        <v>71280.434809333514</v>
      </c>
      <c r="AZ167" cm="1">
        <f t="array" ref="AZ167">_xlfn.IFS(E167="H",AW167*AI167-AV167,E167="D",AX167*AJ167-AV167,E167="A",AY167*AK167-AV167)</f>
        <v>3736.6550492608221</v>
      </c>
      <c r="BA167">
        <f t="shared" si="19"/>
        <v>22596.285550224457</v>
      </c>
    </row>
    <row r="168" spans="1:53" x14ac:dyDescent="0.2">
      <c r="A168">
        <v>7</v>
      </c>
      <c r="B168" t="s">
        <v>55</v>
      </c>
      <c r="C168" s="1">
        <v>44142</v>
      </c>
      <c r="D168" t="s">
        <v>73</v>
      </c>
      <c r="E168" t="s">
        <v>57</v>
      </c>
      <c r="F168" t="s">
        <v>364</v>
      </c>
      <c r="G168" t="s">
        <v>200</v>
      </c>
      <c r="H168" t="s">
        <v>256</v>
      </c>
      <c r="I168" t="s">
        <v>370</v>
      </c>
      <c r="J168" t="s">
        <v>336</v>
      </c>
      <c r="K168" t="s">
        <v>54</v>
      </c>
      <c r="L168">
        <v>2020</v>
      </c>
      <c r="M168">
        <v>0.66666666666666596</v>
      </c>
      <c r="N168">
        <v>1.3333333333333299</v>
      </c>
      <c r="O168">
        <v>1.25</v>
      </c>
      <c r="P168">
        <v>1.25</v>
      </c>
      <c r="Q168">
        <v>2.5499999999999998</v>
      </c>
      <c r="R168">
        <v>3.6</v>
      </c>
      <c r="S168">
        <v>2.5</v>
      </c>
      <c r="T168">
        <v>2.75</v>
      </c>
      <c r="U168">
        <v>3.5</v>
      </c>
      <c r="V168">
        <v>2.5</v>
      </c>
      <c r="W168">
        <v>2.7</v>
      </c>
      <c r="X168">
        <v>3.45</v>
      </c>
      <c r="Y168">
        <v>2.5</v>
      </c>
      <c r="Z168">
        <v>2.76</v>
      </c>
      <c r="AA168">
        <v>3.77</v>
      </c>
      <c r="AB168">
        <v>2.5299999999999998</v>
      </c>
      <c r="AC168">
        <v>2.62</v>
      </c>
      <c r="AD168">
        <v>3.6</v>
      </c>
      <c r="AE168">
        <v>2.5</v>
      </c>
      <c r="AF168">
        <v>2.5</v>
      </c>
      <c r="AG168">
        <v>3.8</v>
      </c>
      <c r="AH168">
        <v>2.5</v>
      </c>
      <c r="AI168">
        <v>2.76</v>
      </c>
      <c r="AJ168">
        <v>3.88</v>
      </c>
      <c r="AK168">
        <v>2.66</v>
      </c>
      <c r="AL168">
        <v>2.67</v>
      </c>
      <c r="AM168">
        <v>3.66</v>
      </c>
      <c r="AN168">
        <v>2.5</v>
      </c>
      <c r="AO168">
        <v>1</v>
      </c>
      <c r="AP168">
        <v>0.36377735168057701</v>
      </c>
      <c r="AQ168">
        <v>0.25876945635010101</v>
      </c>
      <c r="AR168">
        <v>0.37745319196931998</v>
      </c>
      <c r="AS168">
        <v>1</v>
      </c>
      <c r="AT168">
        <v>4.0254906383938504E-3</v>
      </c>
      <c r="AU168">
        <v>1.0750571860657501</v>
      </c>
      <c r="AV168">
        <f t="shared" si="15"/>
        <v>266915.54363744427</v>
      </c>
      <c r="AW168">
        <f t="shared" si="16"/>
        <v>97097.829586811102</v>
      </c>
      <c r="AX168">
        <f t="shared" si="17"/>
        <v>69069.590118453256</v>
      </c>
      <c r="AY168">
        <f t="shared" si="18"/>
        <v>100748.12393217991</v>
      </c>
      <c r="AZ168" cm="1">
        <f t="array" ref="AZ168">_xlfn.IFS(E168="H",AW168*AI168-AV168,E168="D",AX168*AJ168-AV168,E168="A",AY168*AK168-AV168)</f>
        <v>1074.4660221543745</v>
      </c>
      <c r="BA168">
        <f t="shared" si="19"/>
        <v>23670.751572378831</v>
      </c>
    </row>
    <row r="169" spans="1:53" x14ac:dyDescent="0.2">
      <c r="A169">
        <v>7</v>
      </c>
      <c r="B169" t="s">
        <v>55</v>
      </c>
      <c r="C169" s="1">
        <v>44142</v>
      </c>
      <c r="D169" t="s">
        <v>107</v>
      </c>
      <c r="E169" t="s">
        <v>74</v>
      </c>
      <c r="F169" t="s">
        <v>351</v>
      </c>
      <c r="G169" t="s">
        <v>371</v>
      </c>
      <c r="H169" t="s">
        <v>256</v>
      </c>
      <c r="I169" t="s">
        <v>372</v>
      </c>
      <c r="J169" t="s">
        <v>373</v>
      </c>
      <c r="K169" t="s">
        <v>54</v>
      </c>
      <c r="L169">
        <v>2020</v>
      </c>
      <c r="M169">
        <v>1</v>
      </c>
      <c r="N169">
        <v>1.3333333333333299</v>
      </c>
      <c r="O169">
        <v>1.3333333333333299</v>
      </c>
      <c r="P169">
        <v>1.3333333333333299</v>
      </c>
      <c r="Q169">
        <v>1.9</v>
      </c>
      <c r="R169">
        <v>3.6</v>
      </c>
      <c r="S169">
        <v>3.75</v>
      </c>
      <c r="T169">
        <v>2</v>
      </c>
      <c r="U169">
        <v>3.75</v>
      </c>
      <c r="V169">
        <v>3.5</v>
      </c>
      <c r="W169">
        <v>2</v>
      </c>
      <c r="X169">
        <v>3.6</v>
      </c>
      <c r="Y169">
        <v>3.55</v>
      </c>
      <c r="Z169">
        <v>2.02</v>
      </c>
      <c r="AA169">
        <v>3.77</v>
      </c>
      <c r="AB169">
        <v>3.81</v>
      </c>
      <c r="AC169">
        <v>1.95</v>
      </c>
      <c r="AD169">
        <v>3.6</v>
      </c>
      <c r="AE169">
        <v>3.75</v>
      </c>
      <c r="AF169">
        <v>1.95</v>
      </c>
      <c r="AG169">
        <v>3.6</v>
      </c>
      <c r="AH169">
        <v>3.75</v>
      </c>
      <c r="AI169">
        <v>2.1</v>
      </c>
      <c r="AJ169">
        <v>3.89</v>
      </c>
      <c r="AK169">
        <v>3.85</v>
      </c>
      <c r="AL169">
        <v>1.98</v>
      </c>
      <c r="AM169">
        <v>3.72</v>
      </c>
      <c r="AN169">
        <v>3.64</v>
      </c>
      <c r="AO169">
        <v>1</v>
      </c>
      <c r="AP169">
        <v>0.479547237476185</v>
      </c>
      <c r="AQ169">
        <v>0.258881542082259</v>
      </c>
      <c r="AR169">
        <v>0.26157122044155501</v>
      </c>
      <c r="AS169">
        <v>1</v>
      </c>
      <c r="AT169">
        <v>7.04919869998899E-3</v>
      </c>
      <c r="AU169">
        <v>1.0821063847657399</v>
      </c>
      <c r="AV169">
        <f t="shared" si="15"/>
        <v>290586.29520982312</v>
      </c>
      <c r="AW169">
        <f t="shared" si="16"/>
        <v>139349.85511630989</v>
      </c>
      <c r="AX169">
        <f t="shared" si="17"/>
        <v>75227.428211889652</v>
      </c>
      <c r="AY169">
        <f t="shared" si="18"/>
        <v>76009.011881623577</v>
      </c>
      <c r="AZ169" cm="1">
        <f t="array" ref="AZ169">_xlfn.IFS(E169="H",AW169*AI169-AV169,E169="D",AX169*AJ169-AV169,E169="A",AY169*AK169-AV169)</f>
        <v>2048.4005344276666</v>
      </c>
      <c r="BA169">
        <f t="shared" si="19"/>
        <v>25719.152106806498</v>
      </c>
    </row>
    <row r="170" spans="1:53" x14ac:dyDescent="0.2">
      <c r="A170">
        <v>8</v>
      </c>
      <c r="B170" t="s">
        <v>55</v>
      </c>
      <c r="C170" s="1">
        <v>44142</v>
      </c>
      <c r="D170" t="s">
        <v>99</v>
      </c>
      <c r="E170" t="s">
        <v>49</v>
      </c>
      <c r="F170" t="s">
        <v>91</v>
      </c>
      <c r="G170" t="s">
        <v>92</v>
      </c>
      <c r="H170" t="s">
        <v>256</v>
      </c>
      <c r="I170" t="s">
        <v>93</v>
      </c>
      <c r="J170" t="s">
        <v>332</v>
      </c>
      <c r="K170" t="s">
        <v>54</v>
      </c>
      <c r="L170">
        <v>2020</v>
      </c>
      <c r="M170">
        <v>1.75</v>
      </c>
      <c r="N170">
        <v>2.25</v>
      </c>
      <c r="O170">
        <v>0</v>
      </c>
      <c r="P170">
        <v>0.75</v>
      </c>
      <c r="Q170">
        <v>1.36</v>
      </c>
      <c r="R170">
        <v>5</v>
      </c>
      <c r="S170">
        <v>8.5</v>
      </c>
      <c r="T170">
        <v>1.4</v>
      </c>
      <c r="U170">
        <v>4.75</v>
      </c>
      <c r="V170">
        <v>7.75</v>
      </c>
      <c r="W170">
        <v>1.4</v>
      </c>
      <c r="X170">
        <v>4.9000000000000004</v>
      </c>
      <c r="Y170">
        <v>8.25</v>
      </c>
      <c r="Z170">
        <v>1.41</v>
      </c>
      <c r="AA170">
        <v>5.0599999999999996</v>
      </c>
      <c r="AB170">
        <v>8.48</v>
      </c>
      <c r="AC170">
        <v>1.38</v>
      </c>
      <c r="AD170">
        <v>4.75</v>
      </c>
      <c r="AE170">
        <v>8.5</v>
      </c>
      <c r="AF170">
        <v>1.36</v>
      </c>
      <c r="AG170">
        <v>4.8</v>
      </c>
      <c r="AH170">
        <v>9</v>
      </c>
      <c r="AI170">
        <v>1.44</v>
      </c>
      <c r="AJ170">
        <v>5.2</v>
      </c>
      <c r="AK170">
        <v>9</v>
      </c>
      <c r="AL170">
        <v>1.39</v>
      </c>
      <c r="AM170">
        <v>4.93</v>
      </c>
      <c r="AN170">
        <v>8.23</v>
      </c>
      <c r="AO170">
        <v>1</v>
      </c>
      <c r="AP170">
        <v>0.69593147751605999</v>
      </c>
      <c r="AQ170">
        <v>0.19271948608136999</v>
      </c>
      <c r="AR170">
        <v>0.111349036402569</v>
      </c>
      <c r="AS170">
        <v>1</v>
      </c>
      <c r="AT170">
        <v>2.1413276231263502E-3</v>
      </c>
      <c r="AU170">
        <v>1.0842477123888701</v>
      </c>
      <c r="AV170">
        <f t="shared" si="15"/>
        <v>316305.44731662964</v>
      </c>
      <c r="AW170">
        <f t="shared" si="16"/>
        <v>220126.91729744035</v>
      </c>
      <c r="AX170">
        <f t="shared" si="17"/>
        <v>60958.223251598865</v>
      </c>
      <c r="AY170">
        <f t="shared" si="18"/>
        <v>35220.306767590453</v>
      </c>
      <c r="AZ170" cm="1">
        <f t="array" ref="AZ170">_xlfn.IFS(E170="H",AW170*AI170-AV170,E170="D",AX170*AJ170-AV170,E170="A",AY170*AK170-AV170)</f>
        <v>677.3135916844476</v>
      </c>
      <c r="BA170">
        <f t="shared" si="19"/>
        <v>26396.465698490945</v>
      </c>
    </row>
    <row r="171" spans="1:53" x14ac:dyDescent="0.2">
      <c r="A171">
        <v>7</v>
      </c>
      <c r="B171" t="s">
        <v>67</v>
      </c>
      <c r="C171" s="1">
        <v>44143</v>
      </c>
      <c r="D171" t="s">
        <v>73</v>
      </c>
      <c r="E171" t="s">
        <v>49</v>
      </c>
      <c r="F171" t="s">
        <v>261</v>
      </c>
      <c r="G171" t="s">
        <v>138</v>
      </c>
      <c r="H171" t="s">
        <v>256</v>
      </c>
      <c r="I171" t="s">
        <v>262</v>
      </c>
      <c r="J171" t="s">
        <v>374</v>
      </c>
      <c r="K171" t="s">
        <v>54</v>
      </c>
      <c r="L171">
        <v>2020</v>
      </c>
      <c r="M171">
        <v>1.25</v>
      </c>
      <c r="N171">
        <v>0.5</v>
      </c>
      <c r="O171">
        <v>1.75</v>
      </c>
      <c r="P171">
        <v>2.25</v>
      </c>
      <c r="Q171">
        <v>2.1</v>
      </c>
      <c r="R171">
        <v>3.6</v>
      </c>
      <c r="S171">
        <v>3.25</v>
      </c>
      <c r="T171">
        <v>2.15</v>
      </c>
      <c r="U171">
        <v>3.6</v>
      </c>
      <c r="V171">
        <v>3.25</v>
      </c>
      <c r="W171">
        <v>2.15</v>
      </c>
      <c r="X171">
        <v>3.45</v>
      </c>
      <c r="Y171">
        <v>3.25</v>
      </c>
      <c r="Z171">
        <v>2.13</v>
      </c>
      <c r="AA171">
        <v>3.82</v>
      </c>
      <c r="AB171">
        <v>3.43</v>
      </c>
      <c r="AC171">
        <v>2.1</v>
      </c>
      <c r="AD171">
        <v>3.6</v>
      </c>
      <c r="AE171">
        <v>3.25</v>
      </c>
      <c r="AF171">
        <v>2.0499999999999998</v>
      </c>
      <c r="AG171">
        <v>3.8</v>
      </c>
      <c r="AH171">
        <v>3.13</v>
      </c>
      <c r="AI171">
        <v>2.2000000000000002</v>
      </c>
      <c r="AJ171">
        <v>3.9</v>
      </c>
      <c r="AK171">
        <v>3.46</v>
      </c>
      <c r="AL171">
        <v>2.12</v>
      </c>
      <c r="AM171">
        <v>3.69</v>
      </c>
      <c r="AN171">
        <v>3.29</v>
      </c>
      <c r="AO171">
        <v>1</v>
      </c>
      <c r="AP171">
        <v>0.4545577039682</v>
      </c>
      <c r="AQ171">
        <v>0.25641716634103601</v>
      </c>
      <c r="AR171">
        <v>0.28902512969076299</v>
      </c>
      <c r="AS171">
        <v>1</v>
      </c>
      <c r="AT171" s="2">
        <v>2.69487300410542E-5</v>
      </c>
      <c r="AU171">
        <v>1.08427466111891</v>
      </c>
      <c r="AV171">
        <f t="shared" si="15"/>
        <v>342701.9130151206</v>
      </c>
      <c r="AW171">
        <f t="shared" si="16"/>
        <v>155777.79472566317</v>
      </c>
      <c r="AX171">
        <f t="shared" si="17"/>
        <v>87874.653434989494</v>
      </c>
      <c r="AY171">
        <f t="shared" si="18"/>
        <v>99049.464854467937</v>
      </c>
      <c r="AZ171" cm="1">
        <f t="array" ref="AZ171">_xlfn.IFS(E171="H",AW171*AI171-AV171,E171="D",AX171*AJ171-AV171,E171="A",AY171*AK171-AV171)</f>
        <v>9.2353813383961096</v>
      </c>
      <c r="BA171">
        <f t="shared" si="19"/>
        <v>26405.701079829341</v>
      </c>
    </row>
    <row r="172" spans="1:53" x14ac:dyDescent="0.2">
      <c r="A172">
        <v>7</v>
      </c>
      <c r="B172" t="s">
        <v>67</v>
      </c>
      <c r="C172" s="1">
        <v>44143</v>
      </c>
      <c r="D172" t="s">
        <v>183</v>
      </c>
      <c r="E172" t="s">
        <v>57</v>
      </c>
      <c r="F172" t="s">
        <v>375</v>
      </c>
      <c r="G172" t="s">
        <v>376</v>
      </c>
      <c r="H172" t="s">
        <v>256</v>
      </c>
      <c r="I172" t="s">
        <v>377</v>
      </c>
      <c r="J172" t="s">
        <v>299</v>
      </c>
      <c r="K172" t="s">
        <v>54</v>
      </c>
      <c r="L172">
        <v>2020</v>
      </c>
      <c r="M172">
        <v>0</v>
      </c>
      <c r="N172">
        <v>2.25</v>
      </c>
      <c r="O172">
        <v>0</v>
      </c>
      <c r="P172">
        <v>1.3333333333333299</v>
      </c>
      <c r="Q172">
        <v>1.95</v>
      </c>
      <c r="R172">
        <v>3.75</v>
      </c>
      <c r="S172">
        <v>3.6</v>
      </c>
      <c r="T172">
        <v>2.0499999999999998</v>
      </c>
      <c r="U172">
        <v>3.6</v>
      </c>
      <c r="V172">
        <v>3.5</v>
      </c>
      <c r="W172">
        <v>2.0499999999999998</v>
      </c>
      <c r="X172">
        <v>3.45</v>
      </c>
      <c r="Y172">
        <v>3.55</v>
      </c>
      <c r="Z172">
        <v>2.0299999999999998</v>
      </c>
      <c r="AA172">
        <v>3.82</v>
      </c>
      <c r="AB172">
        <v>3.72</v>
      </c>
      <c r="AC172">
        <v>2.0499999999999998</v>
      </c>
      <c r="AD172">
        <v>3.6</v>
      </c>
      <c r="AE172">
        <v>3.6</v>
      </c>
      <c r="AF172">
        <v>2</v>
      </c>
      <c r="AG172">
        <v>3.4</v>
      </c>
      <c r="AH172">
        <v>3.6</v>
      </c>
      <c r="AI172">
        <v>2.12</v>
      </c>
      <c r="AJ172">
        <v>3.82</v>
      </c>
      <c r="AK172">
        <v>3.82</v>
      </c>
      <c r="AL172">
        <v>2.0099999999999998</v>
      </c>
      <c r="AM172">
        <v>3.64</v>
      </c>
      <c r="AN172">
        <v>3.61</v>
      </c>
      <c r="AO172">
        <v>1</v>
      </c>
      <c r="AP172">
        <v>0.47394540942927998</v>
      </c>
      <c r="AQ172">
        <v>0.26302729528535901</v>
      </c>
      <c r="AR172">
        <v>0.26302729528535901</v>
      </c>
      <c r="AS172">
        <v>1</v>
      </c>
      <c r="AT172">
        <v>4.7642679900743402E-3</v>
      </c>
      <c r="AU172">
        <v>1.0890389291089799</v>
      </c>
      <c r="AV172">
        <f t="shared" si="15"/>
        <v>369107.61409494997</v>
      </c>
      <c r="AW172">
        <f t="shared" si="16"/>
        <v>174936.85928569589</v>
      </c>
      <c r="AX172">
        <f t="shared" si="17"/>
        <v>97085.377404627041</v>
      </c>
      <c r="AY172">
        <f t="shared" si="18"/>
        <v>97085.377404627041</v>
      </c>
      <c r="AZ172" cm="1">
        <f t="array" ref="AZ172">_xlfn.IFS(E172="H",AW172*AI172-AV172,E172="D",AX172*AJ172-AV172,E172="A",AY172*AK172-AV172)</f>
        <v>1758.5275907253381</v>
      </c>
      <c r="BA172">
        <f t="shared" si="19"/>
        <v>28164.228670554679</v>
      </c>
    </row>
    <row r="173" spans="1:53" x14ac:dyDescent="0.2">
      <c r="A173">
        <v>9</v>
      </c>
      <c r="B173" t="s">
        <v>67</v>
      </c>
      <c r="C173" s="1">
        <v>44143</v>
      </c>
      <c r="D173" t="s">
        <v>378</v>
      </c>
      <c r="E173" t="s">
        <v>49</v>
      </c>
      <c r="F173" t="s">
        <v>158</v>
      </c>
      <c r="G173" t="s">
        <v>287</v>
      </c>
      <c r="H173" t="s">
        <v>256</v>
      </c>
      <c r="I173" t="s">
        <v>266</v>
      </c>
      <c r="J173" t="s">
        <v>265</v>
      </c>
      <c r="K173" t="s">
        <v>54</v>
      </c>
      <c r="L173">
        <v>2020</v>
      </c>
      <c r="M173">
        <v>1.75</v>
      </c>
      <c r="N173">
        <v>1.75</v>
      </c>
      <c r="O173">
        <v>1.75</v>
      </c>
      <c r="P173">
        <v>1.25</v>
      </c>
      <c r="Q173">
        <v>1.65</v>
      </c>
      <c r="R173">
        <v>3.8</v>
      </c>
      <c r="S173">
        <v>5.25</v>
      </c>
      <c r="T173">
        <v>1.67</v>
      </c>
      <c r="U173">
        <v>4</v>
      </c>
      <c r="V173">
        <v>5</v>
      </c>
      <c r="W173">
        <v>1.7</v>
      </c>
      <c r="X173">
        <v>3.55</v>
      </c>
      <c r="Y173">
        <v>5.25</v>
      </c>
      <c r="Z173">
        <v>1.69</v>
      </c>
      <c r="AA173">
        <v>4.08</v>
      </c>
      <c r="AB173">
        <v>5.31</v>
      </c>
      <c r="AC173">
        <v>1.7</v>
      </c>
      <c r="AD173">
        <v>3.8</v>
      </c>
      <c r="AE173">
        <v>5</v>
      </c>
      <c r="AF173">
        <v>1.65</v>
      </c>
      <c r="AG173">
        <v>3.8</v>
      </c>
      <c r="AH173">
        <v>5</v>
      </c>
      <c r="AI173">
        <v>1.75</v>
      </c>
      <c r="AJ173">
        <v>4.1500000000000004</v>
      </c>
      <c r="AK173">
        <v>5.75</v>
      </c>
      <c r="AL173">
        <v>1.68</v>
      </c>
      <c r="AM173">
        <v>3.87</v>
      </c>
      <c r="AN173">
        <v>5.12</v>
      </c>
      <c r="AO173">
        <v>1</v>
      </c>
      <c r="AP173">
        <v>0.57936267071320102</v>
      </c>
      <c r="AQ173">
        <v>0.24430955993930101</v>
      </c>
      <c r="AR173">
        <v>0.176327769347496</v>
      </c>
      <c r="AS173">
        <v>0.999999999999999</v>
      </c>
      <c r="AT173">
        <v>1.3884673748103E-2</v>
      </c>
      <c r="AU173">
        <v>1.1029236028570899</v>
      </c>
      <c r="AV173">
        <f t="shared" si="15"/>
        <v>397271.84276550467</v>
      </c>
      <c r="AW173">
        <f t="shared" si="16"/>
        <v>230164.47582377799</v>
      </c>
      <c r="AX173">
        <f t="shared" si="17"/>
        <v>97057.309082316002</v>
      </c>
      <c r="AY173">
        <f t="shared" si="18"/>
        <v>70050.057859410677</v>
      </c>
      <c r="AZ173" cm="1">
        <f t="array" ref="AZ173">_xlfn.IFS(E173="H",AW173*AI173-AV173,E173="D",AX173*AJ173-AV173,E173="A",AY173*AK173-AV173)</f>
        <v>5515.9899261068203</v>
      </c>
      <c r="BA173">
        <f t="shared" si="19"/>
        <v>33680.2185966615</v>
      </c>
    </row>
    <row r="174" spans="1:53" x14ac:dyDescent="0.2">
      <c r="A174">
        <v>9</v>
      </c>
      <c r="B174" t="s">
        <v>67</v>
      </c>
      <c r="C174" s="1">
        <v>44143</v>
      </c>
      <c r="D174" t="s">
        <v>190</v>
      </c>
      <c r="E174" t="s">
        <v>49</v>
      </c>
      <c r="F174" t="s">
        <v>166</v>
      </c>
      <c r="G174" t="s">
        <v>311</v>
      </c>
      <c r="H174" t="s">
        <v>256</v>
      </c>
      <c r="I174" t="s">
        <v>379</v>
      </c>
      <c r="J174" t="s">
        <v>349</v>
      </c>
      <c r="K174" t="s">
        <v>54</v>
      </c>
      <c r="L174">
        <v>2020</v>
      </c>
      <c r="M174">
        <v>0.5</v>
      </c>
      <c r="N174">
        <v>0.75</v>
      </c>
      <c r="O174">
        <v>0.75</v>
      </c>
      <c r="P174">
        <v>0.5</v>
      </c>
      <c r="Q174">
        <v>3.3</v>
      </c>
      <c r="R174">
        <v>2.9</v>
      </c>
      <c r="S174">
        <v>2.37</v>
      </c>
      <c r="T174">
        <v>3.25</v>
      </c>
      <c r="U174">
        <v>2.95</v>
      </c>
      <c r="V174">
        <v>2.4500000000000002</v>
      </c>
      <c r="W174">
        <v>3.45</v>
      </c>
      <c r="X174">
        <v>2.75</v>
      </c>
      <c r="Y174">
        <v>2.4</v>
      </c>
      <c r="Z174">
        <v>3.66</v>
      </c>
      <c r="AA174">
        <v>3.01</v>
      </c>
      <c r="AB174">
        <v>2.4</v>
      </c>
      <c r="AC174">
        <v>3.4</v>
      </c>
      <c r="AD174">
        <v>2.9</v>
      </c>
      <c r="AE174">
        <v>2.4500000000000002</v>
      </c>
      <c r="AF174">
        <v>3.2</v>
      </c>
      <c r="AG174">
        <v>2.9</v>
      </c>
      <c r="AH174">
        <v>2.4</v>
      </c>
      <c r="AI174">
        <v>3.7</v>
      </c>
      <c r="AJ174">
        <v>3.07</v>
      </c>
      <c r="AK174">
        <v>2.5299999999999998</v>
      </c>
      <c r="AL174">
        <v>3.43</v>
      </c>
      <c r="AM174">
        <v>2.93</v>
      </c>
      <c r="AN174">
        <v>2.4</v>
      </c>
      <c r="AO174">
        <v>1</v>
      </c>
      <c r="AP174">
        <v>0.27265323602613101</v>
      </c>
      <c r="AQ174">
        <v>0.32860487729533699</v>
      </c>
      <c r="AR174">
        <v>0.398741886678531</v>
      </c>
      <c r="AS174">
        <v>1</v>
      </c>
      <c r="AT174">
        <v>8.8169732966851804E-3</v>
      </c>
      <c r="AU174">
        <v>1.11174057615377</v>
      </c>
      <c r="AV174">
        <f t="shared" si="15"/>
        <v>430952.06136216619</v>
      </c>
      <c r="AW174">
        <f t="shared" si="16"/>
        <v>117500.47410252644</v>
      </c>
      <c r="AX174">
        <f t="shared" si="17"/>
        <v>141612.94924408724</v>
      </c>
      <c r="AY174">
        <f t="shared" si="18"/>
        <v>171838.63801555251</v>
      </c>
      <c r="AZ174" cm="1">
        <f t="array" ref="AZ174">_xlfn.IFS(E174="H",AW174*AI174-AV174,E174="D",AX174*AJ174-AV174,E174="A",AY174*AK174-AV174)</f>
        <v>3799.6928171816398</v>
      </c>
      <c r="BA174">
        <f t="shared" si="19"/>
        <v>37479.91141384314</v>
      </c>
    </row>
    <row r="175" spans="1:53" x14ac:dyDescent="0.2">
      <c r="A175">
        <v>8</v>
      </c>
      <c r="B175" t="s">
        <v>55</v>
      </c>
      <c r="C175" s="1">
        <v>44156</v>
      </c>
      <c r="D175" t="s">
        <v>73</v>
      </c>
      <c r="E175" t="s">
        <v>57</v>
      </c>
      <c r="F175" t="s">
        <v>138</v>
      </c>
      <c r="G175" t="s">
        <v>364</v>
      </c>
      <c r="H175" t="s">
        <v>256</v>
      </c>
      <c r="I175" t="s">
        <v>139</v>
      </c>
      <c r="J175" t="s">
        <v>335</v>
      </c>
      <c r="K175" t="s">
        <v>54</v>
      </c>
      <c r="L175">
        <v>2020</v>
      </c>
      <c r="M175">
        <v>1.5</v>
      </c>
      <c r="N175">
        <v>2.25</v>
      </c>
      <c r="O175">
        <v>2.3333333333333299</v>
      </c>
      <c r="P175">
        <v>2.3333333333333299</v>
      </c>
      <c r="Q175">
        <v>2.2999999999999998</v>
      </c>
      <c r="R175">
        <v>3.75</v>
      </c>
      <c r="S175">
        <v>2.8</v>
      </c>
      <c r="T175">
        <v>2.2999999999999998</v>
      </c>
      <c r="U175">
        <v>3.75</v>
      </c>
      <c r="V175">
        <v>2.7</v>
      </c>
      <c r="W175">
        <v>2.35</v>
      </c>
      <c r="X175">
        <v>3.75</v>
      </c>
      <c r="Y175">
        <v>2.7</v>
      </c>
      <c r="Z175">
        <v>2.37</v>
      </c>
      <c r="AA175">
        <v>3.8</v>
      </c>
      <c r="AB175">
        <v>2.78</v>
      </c>
      <c r="AC175">
        <v>2.2999999999999998</v>
      </c>
      <c r="AD175">
        <v>3.8</v>
      </c>
      <c r="AE175">
        <v>2.75</v>
      </c>
      <c r="AF175">
        <v>2.2999999999999998</v>
      </c>
      <c r="AG175">
        <v>4</v>
      </c>
      <c r="AH175">
        <v>2.63</v>
      </c>
      <c r="AI175">
        <v>2.5</v>
      </c>
      <c r="AJ175">
        <v>4.0199999999999996</v>
      </c>
      <c r="AK175">
        <v>2.88</v>
      </c>
      <c r="AL175">
        <v>2.36</v>
      </c>
      <c r="AM175">
        <v>3.85</v>
      </c>
      <c r="AN175">
        <v>2.74</v>
      </c>
      <c r="AO175">
        <v>1</v>
      </c>
      <c r="AP175">
        <v>0.40161511884444001</v>
      </c>
      <c r="AQ175">
        <v>0.249760646047537</v>
      </c>
      <c r="AR175">
        <v>0.34862423510802099</v>
      </c>
      <c r="AS175">
        <v>1</v>
      </c>
      <c r="AT175">
        <v>4.0377971111018596E-3</v>
      </c>
      <c r="AU175">
        <v>1.1157783732648701</v>
      </c>
      <c r="AV175">
        <f t="shared" si="15"/>
        <v>468431.97277600935</v>
      </c>
      <c r="AW175">
        <f t="shared" si="16"/>
        <v>188129.36241697281</v>
      </c>
      <c r="AX175">
        <f t="shared" si="17"/>
        <v>116995.87214985874</v>
      </c>
      <c r="AY175">
        <f t="shared" si="18"/>
        <v>163306.73820917777</v>
      </c>
      <c r="AZ175" cm="1">
        <f t="array" ref="AZ175">_xlfn.IFS(E175="H",AW175*AI175-AV175,E175="D",AX175*AJ175-AV175,E175="A",AY175*AK175-AV175)</f>
        <v>1891.4332664227113</v>
      </c>
      <c r="BA175">
        <f t="shared" si="19"/>
        <v>39371.344680265851</v>
      </c>
    </row>
    <row r="176" spans="1:53" x14ac:dyDescent="0.2">
      <c r="A176">
        <v>8</v>
      </c>
      <c r="B176" t="s">
        <v>55</v>
      </c>
      <c r="C176" s="1">
        <v>44156</v>
      </c>
      <c r="D176" t="s">
        <v>190</v>
      </c>
      <c r="E176" t="s">
        <v>57</v>
      </c>
      <c r="F176" t="s">
        <v>200</v>
      </c>
      <c r="G176" t="s">
        <v>204</v>
      </c>
      <c r="H176" t="s">
        <v>256</v>
      </c>
      <c r="I176" t="s">
        <v>380</v>
      </c>
      <c r="J176" t="s">
        <v>381</v>
      </c>
      <c r="K176" t="s">
        <v>54</v>
      </c>
      <c r="L176">
        <v>2020</v>
      </c>
      <c r="M176">
        <v>2</v>
      </c>
      <c r="N176">
        <v>1.75</v>
      </c>
      <c r="O176">
        <v>1.75</v>
      </c>
      <c r="P176">
        <v>1.25</v>
      </c>
      <c r="Q176">
        <v>3.8</v>
      </c>
      <c r="R176">
        <v>4</v>
      </c>
      <c r="S176">
        <v>1.85</v>
      </c>
      <c r="T176">
        <v>4</v>
      </c>
      <c r="U176">
        <v>3.6</v>
      </c>
      <c r="V176">
        <v>1.91</v>
      </c>
      <c r="W176">
        <v>3.55</v>
      </c>
      <c r="X176">
        <v>4</v>
      </c>
      <c r="Y176">
        <v>1.9</v>
      </c>
      <c r="Z176">
        <v>3.9</v>
      </c>
      <c r="AA176">
        <v>4.01</v>
      </c>
      <c r="AB176">
        <v>1.93</v>
      </c>
      <c r="AC176">
        <v>3.7</v>
      </c>
      <c r="AD176">
        <v>3.9</v>
      </c>
      <c r="AE176">
        <v>1.88</v>
      </c>
      <c r="AF176">
        <v>3.5</v>
      </c>
      <c r="AG176">
        <v>4</v>
      </c>
      <c r="AH176">
        <v>1.9</v>
      </c>
      <c r="AI176">
        <v>4</v>
      </c>
      <c r="AJ176">
        <v>4.18</v>
      </c>
      <c r="AK176">
        <v>2</v>
      </c>
      <c r="AL176">
        <v>3.76</v>
      </c>
      <c r="AM176">
        <v>3.91</v>
      </c>
      <c r="AN176">
        <v>1.91</v>
      </c>
      <c r="AO176">
        <v>1</v>
      </c>
      <c r="AP176">
        <v>0.25272067714631102</v>
      </c>
      <c r="AQ176">
        <v>0.24183796856106399</v>
      </c>
      <c r="AR176">
        <v>0.50544135429262305</v>
      </c>
      <c r="AS176">
        <v>1</v>
      </c>
      <c r="AT176">
        <v>1.0882708585247799E-2</v>
      </c>
      <c r="AU176">
        <v>1.1266610818501199</v>
      </c>
      <c r="AV176">
        <f t="shared" si="15"/>
        <v>507803.31745627522</v>
      </c>
      <c r="AW176">
        <f t="shared" si="16"/>
        <v>128332.3982446935</v>
      </c>
      <c r="AX176">
        <f t="shared" si="17"/>
        <v>122806.12272219473</v>
      </c>
      <c r="AY176">
        <f t="shared" si="18"/>
        <v>256664.79648938699</v>
      </c>
      <c r="AZ176" cm="1">
        <f t="array" ref="AZ176">_xlfn.IFS(E176="H",AW176*AI176-AV176,E176="D",AX176*AJ176-AV176,E176="A",AY176*AK176-AV176)</f>
        <v>5526.275522498705</v>
      </c>
      <c r="BA176">
        <f t="shared" si="19"/>
        <v>44897.620202764556</v>
      </c>
    </row>
    <row r="177" spans="1:53" x14ac:dyDescent="0.2">
      <c r="A177">
        <v>9</v>
      </c>
      <c r="B177" t="s">
        <v>55</v>
      </c>
      <c r="C177" s="1">
        <v>44156</v>
      </c>
      <c r="D177" t="s">
        <v>151</v>
      </c>
      <c r="E177" t="s">
        <v>49</v>
      </c>
      <c r="F177" t="s">
        <v>127</v>
      </c>
      <c r="G177" t="s">
        <v>358</v>
      </c>
      <c r="H177" t="s">
        <v>256</v>
      </c>
      <c r="I177" t="s">
        <v>305</v>
      </c>
      <c r="J177" t="s">
        <v>232</v>
      </c>
      <c r="K177" t="s">
        <v>54</v>
      </c>
      <c r="L177">
        <v>2020</v>
      </c>
      <c r="M177">
        <v>0.25</v>
      </c>
      <c r="N177">
        <v>0.5</v>
      </c>
      <c r="O177">
        <v>0.25</v>
      </c>
      <c r="P177">
        <v>0.75</v>
      </c>
      <c r="Q177">
        <v>1.3</v>
      </c>
      <c r="R177">
        <v>5.5</v>
      </c>
      <c r="S177">
        <v>9.5</v>
      </c>
      <c r="T177">
        <v>1.3</v>
      </c>
      <c r="U177">
        <v>5.5</v>
      </c>
      <c r="V177">
        <v>9.75</v>
      </c>
      <c r="W177">
        <v>1.35</v>
      </c>
      <c r="X177">
        <v>5.5</v>
      </c>
      <c r="Y177">
        <v>7.5</v>
      </c>
      <c r="Z177">
        <v>1.34</v>
      </c>
      <c r="AA177">
        <v>5.5</v>
      </c>
      <c r="AB177">
        <v>10.029999999999999</v>
      </c>
      <c r="AC177">
        <v>1.32</v>
      </c>
      <c r="AD177">
        <v>5.25</v>
      </c>
      <c r="AE177">
        <v>9.5</v>
      </c>
      <c r="AF177">
        <v>1.33</v>
      </c>
      <c r="AG177">
        <v>5</v>
      </c>
      <c r="AH177">
        <v>10</v>
      </c>
      <c r="AI177">
        <v>1.38</v>
      </c>
      <c r="AJ177">
        <v>5.75</v>
      </c>
      <c r="AK177">
        <v>10.5</v>
      </c>
      <c r="AL177">
        <v>1.34</v>
      </c>
      <c r="AM177">
        <v>5.34</v>
      </c>
      <c r="AN177">
        <v>9.2100000000000009</v>
      </c>
      <c r="AO177">
        <v>1</v>
      </c>
      <c r="AP177">
        <v>0.72916666666666596</v>
      </c>
      <c r="AQ177">
        <v>0.17499999999999999</v>
      </c>
      <c r="AR177">
        <v>9.5833333333333298E-2</v>
      </c>
      <c r="AS177">
        <v>0.999999999999999</v>
      </c>
      <c r="AT177">
        <v>6.2499999999998598E-3</v>
      </c>
      <c r="AU177">
        <v>1.13291108185012</v>
      </c>
      <c r="AV177">
        <f t="shared" si="15"/>
        <v>552700.93765903974</v>
      </c>
      <c r="AW177">
        <f t="shared" si="16"/>
        <v>403011.10037638317</v>
      </c>
      <c r="AX177">
        <f t="shared" si="17"/>
        <v>96722.664090331949</v>
      </c>
      <c r="AY177">
        <f t="shared" si="18"/>
        <v>52967.173192324641</v>
      </c>
      <c r="AZ177" cm="1">
        <f t="array" ref="AZ177">_xlfn.IFS(E177="H",AW177*AI177-AV177,E177="D",AX177*AJ177-AV177,E177="A",AY177*AK177-AV177)</f>
        <v>3454.380860368954</v>
      </c>
      <c r="BA177">
        <f t="shared" si="19"/>
        <v>48352.00106313351</v>
      </c>
    </row>
    <row r="178" spans="1:53" x14ac:dyDescent="0.2">
      <c r="A178">
        <v>8</v>
      </c>
      <c r="B178" t="s">
        <v>67</v>
      </c>
      <c r="C178" s="1">
        <v>44157</v>
      </c>
      <c r="D178" t="s">
        <v>183</v>
      </c>
      <c r="E178" t="s">
        <v>49</v>
      </c>
      <c r="F178" t="s">
        <v>318</v>
      </c>
      <c r="G178" t="s">
        <v>375</v>
      </c>
      <c r="H178" t="s">
        <v>256</v>
      </c>
      <c r="I178" t="s">
        <v>244</v>
      </c>
      <c r="J178" t="s">
        <v>182</v>
      </c>
      <c r="K178" t="s">
        <v>54</v>
      </c>
      <c r="L178">
        <v>2020</v>
      </c>
      <c r="M178">
        <v>1.75</v>
      </c>
      <c r="N178">
        <v>2.25</v>
      </c>
      <c r="O178">
        <v>1.25</v>
      </c>
      <c r="P178">
        <v>1.5</v>
      </c>
      <c r="Q178">
        <v>1.33</v>
      </c>
      <c r="R178">
        <v>5.75</v>
      </c>
      <c r="S178">
        <v>8</v>
      </c>
      <c r="T178">
        <v>1.35</v>
      </c>
      <c r="U178">
        <v>5.5</v>
      </c>
      <c r="V178">
        <v>8</v>
      </c>
      <c r="W178">
        <v>1.35</v>
      </c>
      <c r="X178">
        <v>5.5</v>
      </c>
      <c r="Y178">
        <v>7.75</v>
      </c>
      <c r="Z178">
        <v>1.37</v>
      </c>
      <c r="AA178">
        <v>5.76</v>
      </c>
      <c r="AB178">
        <v>8.3000000000000007</v>
      </c>
      <c r="AC178">
        <v>1.33</v>
      </c>
      <c r="AD178">
        <v>5.5</v>
      </c>
      <c r="AE178">
        <v>8.5</v>
      </c>
      <c r="AF178">
        <v>1.3</v>
      </c>
      <c r="AG178">
        <v>5.5</v>
      </c>
      <c r="AH178">
        <v>8</v>
      </c>
      <c r="AI178">
        <v>1.4</v>
      </c>
      <c r="AJ178">
        <v>6</v>
      </c>
      <c r="AK178">
        <v>8.6999999999999993</v>
      </c>
      <c r="AL178">
        <v>1.34</v>
      </c>
      <c r="AM178">
        <v>5.53</v>
      </c>
      <c r="AN178">
        <v>8.0399999999999991</v>
      </c>
      <c r="AO178">
        <v>1</v>
      </c>
      <c r="AP178">
        <v>0.71723000824402305</v>
      </c>
      <c r="AQ178">
        <v>0.16735366859027201</v>
      </c>
      <c r="AR178">
        <v>0.11541632316570399</v>
      </c>
      <c r="AS178">
        <v>1</v>
      </c>
      <c r="AT178">
        <v>4.1220115416322704E-3</v>
      </c>
      <c r="AU178">
        <v>1.1370330933917501</v>
      </c>
      <c r="AV178">
        <f t="shared" si="15"/>
        <v>601052.93872217322</v>
      </c>
      <c r="AW178">
        <f t="shared" si="16"/>
        <v>431093.2041947986</v>
      </c>
      <c r="AX178">
        <f t="shared" si="17"/>
        <v>100588.41431211968</v>
      </c>
      <c r="AY178">
        <f t="shared" si="18"/>
        <v>69371.320215254949</v>
      </c>
      <c r="AZ178" cm="1">
        <f t="array" ref="AZ178">_xlfn.IFS(E178="H",AW178*AI178-AV178,E178="D",AX178*AJ178-AV178,E178="A",AY178*AK178-AV178)</f>
        <v>2477.5471505448222</v>
      </c>
      <c r="BA178">
        <f t="shared" si="19"/>
        <v>50829.548213678332</v>
      </c>
    </row>
    <row r="179" spans="1:53" x14ac:dyDescent="0.2">
      <c r="A179">
        <v>8</v>
      </c>
      <c r="B179" t="s">
        <v>67</v>
      </c>
      <c r="C179" s="1">
        <v>44157</v>
      </c>
      <c r="D179" t="s">
        <v>183</v>
      </c>
      <c r="E179" t="s">
        <v>49</v>
      </c>
      <c r="F179" t="s">
        <v>108</v>
      </c>
      <c r="G179" t="s">
        <v>187</v>
      </c>
      <c r="H179" t="s">
        <v>256</v>
      </c>
      <c r="I179" t="s">
        <v>110</v>
      </c>
      <c r="J179" t="s">
        <v>186</v>
      </c>
      <c r="K179" t="s">
        <v>54</v>
      </c>
      <c r="L179">
        <v>2020</v>
      </c>
      <c r="M179">
        <v>2.5</v>
      </c>
      <c r="N179">
        <v>2.75</v>
      </c>
      <c r="O179">
        <v>1</v>
      </c>
      <c r="P179">
        <v>2.25</v>
      </c>
      <c r="Q179">
        <v>1.5</v>
      </c>
      <c r="R179">
        <v>4.75</v>
      </c>
      <c r="S179">
        <v>5.75</v>
      </c>
      <c r="T179">
        <v>1.5</v>
      </c>
      <c r="U179">
        <v>4.75</v>
      </c>
      <c r="V179">
        <v>5.75</v>
      </c>
      <c r="W179">
        <v>1.5</v>
      </c>
      <c r="X179">
        <v>4.7</v>
      </c>
      <c r="Y179">
        <v>5.75</v>
      </c>
      <c r="Z179">
        <v>1.52</v>
      </c>
      <c r="AA179">
        <v>5.0199999999999996</v>
      </c>
      <c r="AB179">
        <v>5.98</v>
      </c>
      <c r="AC179">
        <v>1.47</v>
      </c>
      <c r="AD179">
        <v>4.5999999999999996</v>
      </c>
      <c r="AE179">
        <v>6.5</v>
      </c>
      <c r="AF179">
        <v>1.44</v>
      </c>
      <c r="AG179">
        <v>4.5</v>
      </c>
      <c r="AH179">
        <v>6.5</v>
      </c>
      <c r="AI179">
        <v>1.56</v>
      </c>
      <c r="AJ179">
        <v>5.05</v>
      </c>
      <c r="AK179">
        <v>6.65</v>
      </c>
      <c r="AL179">
        <v>1.49</v>
      </c>
      <c r="AM179">
        <v>4.8099999999999996</v>
      </c>
      <c r="AN179">
        <v>5.89</v>
      </c>
      <c r="AO179">
        <v>1</v>
      </c>
      <c r="AP179">
        <v>0.64787930818277395</v>
      </c>
      <c r="AQ179">
        <v>0.20013697440893599</v>
      </c>
      <c r="AR179">
        <v>0.151983717408289</v>
      </c>
      <c r="AS179">
        <v>1</v>
      </c>
      <c r="AT179">
        <v>1.06917207651273E-2</v>
      </c>
      <c r="AU179">
        <v>1.1477248141568801</v>
      </c>
      <c r="AV179">
        <f t="shared" si="15"/>
        <v>651882.48693585151</v>
      </c>
      <c r="AW179">
        <f t="shared" si="16"/>
        <v>422341.17465246568</v>
      </c>
      <c r="AX179">
        <f t="shared" si="17"/>
        <v>130465.78860551416</v>
      </c>
      <c r="AY179">
        <f t="shared" si="18"/>
        <v>99075.52367787165</v>
      </c>
      <c r="AZ179" cm="1">
        <f t="array" ref="AZ179">_xlfn.IFS(E179="H",AW179*AI179-AV179,E179="D",AX179*AJ179-AV179,E179="A",AY179*AK179-AV179)</f>
        <v>6969.7455219950061</v>
      </c>
      <c r="BA179">
        <f t="shared" si="19"/>
        <v>57799.293735673338</v>
      </c>
    </row>
    <row r="180" spans="1:53" x14ac:dyDescent="0.2">
      <c r="A180">
        <v>10</v>
      </c>
      <c r="B180" t="s">
        <v>67</v>
      </c>
      <c r="C180" s="1">
        <v>44157</v>
      </c>
      <c r="D180" t="s">
        <v>378</v>
      </c>
      <c r="E180" t="s">
        <v>74</v>
      </c>
      <c r="F180" t="s">
        <v>382</v>
      </c>
      <c r="G180" t="s">
        <v>158</v>
      </c>
      <c r="H180" t="s">
        <v>256</v>
      </c>
      <c r="I180" t="s">
        <v>383</v>
      </c>
      <c r="J180" t="s">
        <v>272</v>
      </c>
      <c r="K180" t="s">
        <v>54</v>
      </c>
      <c r="L180">
        <v>2020</v>
      </c>
      <c r="M180">
        <v>0.5</v>
      </c>
      <c r="N180">
        <v>0.5</v>
      </c>
      <c r="O180">
        <v>2.5</v>
      </c>
      <c r="P180">
        <v>2.75</v>
      </c>
      <c r="Q180">
        <v>4</v>
      </c>
      <c r="R180">
        <v>3.8</v>
      </c>
      <c r="S180">
        <v>1.85</v>
      </c>
      <c r="T180">
        <v>4.5999999999999996</v>
      </c>
      <c r="U180">
        <v>3.5</v>
      </c>
      <c r="V180">
        <v>1.83</v>
      </c>
      <c r="W180">
        <v>4.0999999999999996</v>
      </c>
      <c r="X180">
        <v>3.65</v>
      </c>
      <c r="Y180">
        <v>1.85</v>
      </c>
      <c r="Z180">
        <v>4.42</v>
      </c>
      <c r="AA180">
        <v>3.93</v>
      </c>
      <c r="AB180">
        <v>1.84</v>
      </c>
      <c r="AC180">
        <v>4.4000000000000004</v>
      </c>
      <c r="AD180">
        <v>3.7</v>
      </c>
      <c r="AE180">
        <v>1.8</v>
      </c>
      <c r="AF180">
        <v>4.5</v>
      </c>
      <c r="AG180">
        <v>3.4</v>
      </c>
      <c r="AH180">
        <v>1.8</v>
      </c>
      <c r="AI180">
        <v>4.6500000000000004</v>
      </c>
      <c r="AJ180">
        <v>3.97</v>
      </c>
      <c r="AK180">
        <v>1.9</v>
      </c>
      <c r="AL180">
        <v>4.3899999999999997</v>
      </c>
      <c r="AM180">
        <v>3.64</v>
      </c>
      <c r="AN180">
        <v>1.84</v>
      </c>
      <c r="AO180">
        <v>1</v>
      </c>
      <c r="AP180">
        <v>0.21651334012658399</v>
      </c>
      <c r="AQ180">
        <v>0.25359874851098602</v>
      </c>
      <c r="AR180">
        <v>0.52988791136242896</v>
      </c>
      <c r="AS180">
        <v>1</v>
      </c>
      <c r="AT180">
        <v>6.7870315886160403E-3</v>
      </c>
      <c r="AU180">
        <v>1.1545118457454999</v>
      </c>
      <c r="AV180">
        <f t="shared" si="15"/>
        <v>709681.78067152482</v>
      </c>
      <c r="AW180">
        <f t="shared" si="16"/>
        <v>153655.5727601737</v>
      </c>
      <c r="AX180">
        <f t="shared" si="17"/>
        <v>179974.41141934705</v>
      </c>
      <c r="AY180">
        <f t="shared" si="18"/>
        <v>376051.79649200407</v>
      </c>
      <c r="AZ180" cm="1">
        <f t="array" ref="AZ180">_xlfn.IFS(E180="H",AW180*AI180-AV180,E180="D",AX180*AJ180-AV180,E180="A",AY180*AK180-AV180)</f>
        <v>4816.632663282915</v>
      </c>
      <c r="BA180">
        <f t="shared" si="19"/>
        <v>62615.926398956253</v>
      </c>
    </row>
    <row r="181" spans="1:53" x14ac:dyDescent="0.2">
      <c r="A181">
        <v>9</v>
      </c>
      <c r="B181" t="s">
        <v>55</v>
      </c>
      <c r="C181" s="1">
        <v>44163</v>
      </c>
      <c r="D181" t="s">
        <v>73</v>
      </c>
      <c r="E181" t="s">
        <v>57</v>
      </c>
      <c r="F181" t="s">
        <v>148</v>
      </c>
      <c r="G181" t="s">
        <v>172</v>
      </c>
      <c r="H181" t="s">
        <v>256</v>
      </c>
      <c r="I181" t="s">
        <v>367</v>
      </c>
      <c r="J181" t="s">
        <v>150</v>
      </c>
      <c r="K181" t="s">
        <v>54</v>
      </c>
      <c r="L181">
        <v>2020</v>
      </c>
      <c r="M181">
        <v>1.5</v>
      </c>
      <c r="N181">
        <v>1.25</v>
      </c>
      <c r="O181">
        <v>1</v>
      </c>
      <c r="P181">
        <v>1</v>
      </c>
      <c r="Q181">
        <v>2.37</v>
      </c>
      <c r="R181">
        <v>3.5</v>
      </c>
      <c r="S181">
        <v>2.9</v>
      </c>
      <c r="T181">
        <v>2.4</v>
      </c>
      <c r="U181">
        <v>3.4</v>
      </c>
      <c r="V181">
        <v>2.95</v>
      </c>
      <c r="W181">
        <v>2.4</v>
      </c>
      <c r="X181">
        <v>3.4</v>
      </c>
      <c r="Y181">
        <v>2.85</v>
      </c>
      <c r="Z181">
        <v>2.48</v>
      </c>
      <c r="AA181">
        <v>3.5</v>
      </c>
      <c r="AB181">
        <v>3</v>
      </c>
      <c r="AC181">
        <v>2.4</v>
      </c>
      <c r="AD181">
        <v>3.3</v>
      </c>
      <c r="AE181">
        <v>2.9</v>
      </c>
      <c r="AF181">
        <v>2.4</v>
      </c>
      <c r="AG181">
        <v>3.5</v>
      </c>
      <c r="AH181">
        <v>2.8</v>
      </c>
      <c r="AI181">
        <v>2.5</v>
      </c>
      <c r="AJ181">
        <v>3.71</v>
      </c>
      <c r="AK181">
        <v>3.05</v>
      </c>
      <c r="AL181">
        <v>2.42</v>
      </c>
      <c r="AM181">
        <v>3.43</v>
      </c>
      <c r="AN181">
        <v>2.91</v>
      </c>
      <c r="AO181">
        <v>1</v>
      </c>
      <c r="AP181">
        <v>0.40103843632046199</v>
      </c>
      <c r="AQ181">
        <v>0.27024153390866701</v>
      </c>
      <c r="AR181">
        <v>0.32872002977087</v>
      </c>
      <c r="AS181">
        <v>1</v>
      </c>
      <c r="AT181">
        <v>2.5960908011555201E-3</v>
      </c>
      <c r="AU181">
        <v>1.1571079365466499</v>
      </c>
      <c r="AV181">
        <f t="shared" si="15"/>
        <v>772297.70707048103</v>
      </c>
      <c r="AW181">
        <f t="shared" si="16"/>
        <v>309721.06481742405</v>
      </c>
      <c r="AX181">
        <f t="shared" si="17"/>
        <v>208706.91699287336</v>
      </c>
      <c r="AY181">
        <f t="shared" si="18"/>
        <v>253869.72526018365</v>
      </c>
      <c r="AZ181" cm="1">
        <f t="array" ref="AZ181">_xlfn.IFS(E181="H",AW181*AI181-AV181,E181="D",AX181*AJ181-AV181,E181="A",AY181*AK181-AV181)</f>
        <v>2004.9549730791477</v>
      </c>
      <c r="BA181">
        <f t="shared" si="19"/>
        <v>64620.881372035401</v>
      </c>
    </row>
    <row r="182" spans="1:53" x14ac:dyDescent="0.2">
      <c r="A182">
        <v>12</v>
      </c>
      <c r="B182" t="s">
        <v>67</v>
      </c>
      <c r="C182" s="1">
        <v>44164</v>
      </c>
      <c r="D182" t="s">
        <v>183</v>
      </c>
      <c r="E182" t="s">
        <v>49</v>
      </c>
      <c r="F182" t="s">
        <v>135</v>
      </c>
      <c r="G182" t="s">
        <v>95</v>
      </c>
      <c r="H182" t="s">
        <v>256</v>
      </c>
      <c r="I182" t="s">
        <v>136</v>
      </c>
      <c r="J182" t="s">
        <v>72</v>
      </c>
      <c r="K182" t="s">
        <v>54</v>
      </c>
      <c r="L182">
        <v>2020</v>
      </c>
      <c r="M182">
        <v>2.5</v>
      </c>
      <c r="N182">
        <v>2.75</v>
      </c>
      <c r="O182">
        <v>1.75</v>
      </c>
      <c r="P182">
        <v>0.5</v>
      </c>
      <c r="Q182">
        <v>1.33</v>
      </c>
      <c r="R182">
        <v>4.75</v>
      </c>
      <c r="S182">
        <v>9</v>
      </c>
      <c r="T182">
        <v>1.42</v>
      </c>
      <c r="U182">
        <v>4.75</v>
      </c>
      <c r="V182">
        <v>7.5</v>
      </c>
      <c r="W182">
        <v>1.37</v>
      </c>
      <c r="X182">
        <v>5.25</v>
      </c>
      <c r="Y182">
        <v>7.75</v>
      </c>
      <c r="Z182">
        <v>1.36</v>
      </c>
      <c r="AA182">
        <v>5.65</v>
      </c>
      <c r="AB182">
        <v>8.91</v>
      </c>
      <c r="AC182">
        <v>1.38</v>
      </c>
      <c r="AD182">
        <v>4.8</v>
      </c>
      <c r="AE182">
        <v>8</v>
      </c>
      <c r="AF182">
        <v>1.36</v>
      </c>
      <c r="AG182">
        <v>4.8</v>
      </c>
      <c r="AH182">
        <v>8</v>
      </c>
      <c r="AI182">
        <v>1.43</v>
      </c>
      <c r="AJ182">
        <v>5.75</v>
      </c>
      <c r="AK182">
        <v>9</v>
      </c>
      <c r="AL182">
        <v>1.37</v>
      </c>
      <c r="AM182">
        <v>5.16</v>
      </c>
      <c r="AN182">
        <v>7.83</v>
      </c>
      <c r="AO182">
        <v>1</v>
      </c>
      <c r="AP182">
        <v>0.71043690153413097</v>
      </c>
      <c r="AQ182">
        <v>0.17668256855544401</v>
      </c>
      <c r="AR182">
        <v>0.11288052991042299</v>
      </c>
      <c r="AS182">
        <v>1</v>
      </c>
      <c r="AT182">
        <v>1.5924769193808402E-2</v>
      </c>
      <c r="AU182">
        <v>1.1730327057404599</v>
      </c>
      <c r="AV182">
        <f t="shared" si="15"/>
        <v>836918.5884425164</v>
      </c>
      <c r="AW182">
        <f t="shared" si="16"/>
        <v>594577.84880942071</v>
      </c>
      <c r="AX182">
        <f t="shared" si="17"/>
        <v>147868.92587782117</v>
      </c>
      <c r="AY182">
        <f t="shared" si="18"/>
        <v>94471.813755274605</v>
      </c>
      <c r="AZ182" cm="1">
        <f t="array" ref="AZ182">_xlfn.IFS(E182="H",AW182*AI182-AV182,E182="D",AX182*AJ182-AV182,E182="A",AY182*AK182-AV182)</f>
        <v>13327.735354955192</v>
      </c>
      <c r="BA182">
        <f t="shared" si="19"/>
        <v>77948.616726990585</v>
      </c>
    </row>
    <row r="183" spans="1:53" x14ac:dyDescent="0.2">
      <c r="A183">
        <v>13</v>
      </c>
      <c r="B183" t="s">
        <v>47</v>
      </c>
      <c r="C183" s="1">
        <v>44169</v>
      </c>
      <c r="D183" t="s">
        <v>68</v>
      </c>
      <c r="E183" t="s">
        <v>74</v>
      </c>
      <c r="F183" t="s">
        <v>95</v>
      </c>
      <c r="G183" t="s">
        <v>59</v>
      </c>
      <c r="H183" t="s">
        <v>256</v>
      </c>
      <c r="I183" t="s">
        <v>97</v>
      </c>
      <c r="J183" t="s">
        <v>361</v>
      </c>
      <c r="K183" t="s">
        <v>54</v>
      </c>
      <c r="L183">
        <v>2020</v>
      </c>
      <c r="M183">
        <v>0.25</v>
      </c>
      <c r="N183">
        <v>0.5</v>
      </c>
      <c r="O183">
        <v>2.5</v>
      </c>
      <c r="P183">
        <v>1</v>
      </c>
      <c r="Q183">
        <v>5.25</v>
      </c>
      <c r="R183">
        <v>3.8</v>
      </c>
      <c r="S183">
        <v>1.66</v>
      </c>
      <c r="T183">
        <v>5</v>
      </c>
      <c r="U183">
        <v>3.7</v>
      </c>
      <c r="V183">
        <v>1.72</v>
      </c>
      <c r="W183">
        <v>5.25</v>
      </c>
      <c r="X183">
        <v>3.65</v>
      </c>
      <c r="Y183">
        <v>1.7</v>
      </c>
      <c r="Z183">
        <v>5.34</v>
      </c>
      <c r="AA183">
        <v>3.88</v>
      </c>
      <c r="AB183">
        <v>1.72</v>
      </c>
      <c r="AC183">
        <v>5</v>
      </c>
      <c r="AD183">
        <v>3.6</v>
      </c>
      <c r="AE183">
        <v>1.73</v>
      </c>
      <c r="AF183">
        <v>5.25</v>
      </c>
      <c r="AG183">
        <v>3.7</v>
      </c>
      <c r="AH183">
        <v>1.67</v>
      </c>
      <c r="AI183">
        <v>5.5</v>
      </c>
      <c r="AJ183">
        <v>4</v>
      </c>
      <c r="AK183">
        <v>1.78</v>
      </c>
      <c r="AL183">
        <v>5.08</v>
      </c>
      <c r="AM183">
        <v>3.79</v>
      </c>
      <c r="AN183">
        <v>1.7</v>
      </c>
      <c r="AO183">
        <v>1</v>
      </c>
      <c r="AP183">
        <v>0.18298637882292401</v>
      </c>
      <c r="AQ183">
        <v>0.25160627088152099</v>
      </c>
      <c r="AR183">
        <v>0.565407350295553</v>
      </c>
      <c r="AS183">
        <v>0.999999999999999</v>
      </c>
      <c r="AT183">
        <v>6.42508352608572E-3</v>
      </c>
      <c r="AU183">
        <v>1.1794577892665501</v>
      </c>
      <c r="AV183">
        <f t="shared" si="15"/>
        <v>914867.20516950695</v>
      </c>
      <c r="AW183">
        <f t="shared" si="16"/>
        <v>167408.23697781775</v>
      </c>
      <c r="AX183">
        <f t="shared" si="17"/>
        <v>230186.3258444994</v>
      </c>
      <c r="AY183">
        <f t="shared" si="18"/>
        <v>517272.64234718971</v>
      </c>
      <c r="AZ183" cm="1">
        <f t="array" ref="AZ183">_xlfn.IFS(E183="H",AW183*AI183-AV183,E183="D",AX183*AJ183-AV183,E183="A",AY183*AK183-AV183)</f>
        <v>5878.0982084907591</v>
      </c>
      <c r="BA183">
        <f t="shared" si="19"/>
        <v>83826.714935481345</v>
      </c>
    </row>
    <row r="184" spans="1:53" x14ac:dyDescent="0.2">
      <c r="A184">
        <v>10</v>
      </c>
      <c r="B184" t="s">
        <v>67</v>
      </c>
      <c r="C184" s="1">
        <v>44171</v>
      </c>
      <c r="D184" t="s">
        <v>121</v>
      </c>
      <c r="E184" t="s">
        <v>57</v>
      </c>
      <c r="F184" t="s">
        <v>142</v>
      </c>
      <c r="G184" t="s">
        <v>141</v>
      </c>
      <c r="H184" t="s">
        <v>256</v>
      </c>
      <c r="I184" t="s">
        <v>320</v>
      </c>
      <c r="J184" t="s">
        <v>186</v>
      </c>
      <c r="K184" t="s">
        <v>54</v>
      </c>
      <c r="L184">
        <v>2020</v>
      </c>
      <c r="M184">
        <v>1.75</v>
      </c>
      <c r="N184">
        <v>1</v>
      </c>
      <c r="O184">
        <v>0.75</v>
      </c>
      <c r="P184">
        <v>1.75</v>
      </c>
      <c r="Q184">
        <v>1.95</v>
      </c>
      <c r="R184">
        <v>3.6</v>
      </c>
      <c r="S184">
        <v>3.75</v>
      </c>
      <c r="T184">
        <v>1.95</v>
      </c>
      <c r="U184">
        <v>3.75</v>
      </c>
      <c r="V184">
        <v>3.7</v>
      </c>
      <c r="W184">
        <v>2</v>
      </c>
      <c r="X184">
        <v>3.6</v>
      </c>
      <c r="Y184">
        <v>3.5</v>
      </c>
      <c r="Z184">
        <v>1.95</v>
      </c>
      <c r="AA184">
        <v>3.83</v>
      </c>
      <c r="AB184">
        <v>3.66</v>
      </c>
      <c r="AC184">
        <v>2.0499999999999998</v>
      </c>
      <c r="AD184">
        <v>3.6</v>
      </c>
      <c r="AE184">
        <v>3.6</v>
      </c>
      <c r="AF184">
        <v>1.95</v>
      </c>
      <c r="AG184">
        <v>3.4</v>
      </c>
      <c r="AH184">
        <v>3.75</v>
      </c>
      <c r="AI184">
        <v>2.1</v>
      </c>
      <c r="AJ184">
        <v>3.9</v>
      </c>
      <c r="AK184">
        <v>3.85</v>
      </c>
      <c r="AL184">
        <v>1.98</v>
      </c>
      <c r="AM184">
        <v>3.7</v>
      </c>
      <c r="AN184">
        <v>3.64</v>
      </c>
      <c r="AO184">
        <v>1</v>
      </c>
      <c r="AP184">
        <v>0.47986577181208001</v>
      </c>
      <c r="AQ184">
        <v>0.25838926174496601</v>
      </c>
      <c r="AR184">
        <v>0.26174496644295298</v>
      </c>
      <c r="AS184">
        <v>1</v>
      </c>
      <c r="AT184">
        <v>7.71812080536915E-3</v>
      </c>
      <c r="AU184">
        <v>1.1871759100719099</v>
      </c>
      <c r="AV184">
        <f t="shared" si="15"/>
        <v>998693.92010498827</v>
      </c>
      <c r="AW184">
        <f t="shared" si="16"/>
        <v>479239.02877521241</v>
      </c>
      <c r="AX184">
        <f t="shared" si="17"/>
        <v>258051.78472511444</v>
      </c>
      <c r="AY184">
        <f t="shared" si="18"/>
        <v>261403.10660466139</v>
      </c>
      <c r="AZ184" cm="1">
        <f t="array" ref="AZ184">_xlfn.IFS(E184="H",AW184*AI184-AV184,E184="D",AX184*AJ184-AV184,E184="A",AY184*AK184-AV184)</f>
        <v>7708.0403229580261</v>
      </c>
      <c r="BA184">
        <f t="shared" si="19"/>
        <v>91534.755258439371</v>
      </c>
    </row>
    <row r="185" spans="1:53" x14ac:dyDescent="0.2">
      <c r="A185">
        <v>12</v>
      </c>
      <c r="B185" t="s">
        <v>67</v>
      </c>
      <c r="C185" s="1">
        <v>44171</v>
      </c>
      <c r="D185" t="s">
        <v>190</v>
      </c>
      <c r="E185" t="s">
        <v>57</v>
      </c>
      <c r="F185" t="s">
        <v>294</v>
      </c>
      <c r="G185" t="s">
        <v>384</v>
      </c>
      <c r="H185" t="s">
        <v>256</v>
      </c>
      <c r="I185" t="s">
        <v>295</v>
      </c>
      <c r="J185" t="s">
        <v>385</v>
      </c>
      <c r="K185" t="s">
        <v>54</v>
      </c>
      <c r="L185">
        <v>2020</v>
      </c>
      <c r="M185">
        <v>2.5</v>
      </c>
      <c r="N185">
        <v>2</v>
      </c>
      <c r="O185">
        <v>1.75</v>
      </c>
      <c r="P185">
        <v>1.25</v>
      </c>
      <c r="Q185">
        <v>1.3</v>
      </c>
      <c r="R185">
        <v>5.5</v>
      </c>
      <c r="S185">
        <v>9.5</v>
      </c>
      <c r="T185">
        <v>1.33</v>
      </c>
      <c r="U185">
        <v>5.25</v>
      </c>
      <c r="V185">
        <v>9.25</v>
      </c>
      <c r="W185">
        <v>1.35</v>
      </c>
      <c r="X185">
        <v>5</v>
      </c>
      <c r="Y185">
        <v>8.75</v>
      </c>
      <c r="Z185">
        <v>1.35</v>
      </c>
      <c r="AA185">
        <v>5.41</v>
      </c>
      <c r="AB185">
        <v>8.85</v>
      </c>
      <c r="AC185">
        <v>1.33</v>
      </c>
      <c r="AD185">
        <v>5</v>
      </c>
      <c r="AE185">
        <v>9.5</v>
      </c>
      <c r="AF185">
        <v>1.3</v>
      </c>
      <c r="AG185">
        <v>5.25</v>
      </c>
      <c r="AH185">
        <v>9</v>
      </c>
      <c r="AI185">
        <v>1.38</v>
      </c>
      <c r="AJ185">
        <v>5.75</v>
      </c>
      <c r="AK185">
        <v>9.9499999999999993</v>
      </c>
      <c r="AL185">
        <v>1.34</v>
      </c>
      <c r="AM185">
        <v>5.27</v>
      </c>
      <c r="AN185">
        <v>8.9600000000000009</v>
      </c>
      <c r="AO185">
        <v>1</v>
      </c>
      <c r="AP185">
        <v>0.72532439131068605</v>
      </c>
      <c r="AQ185">
        <v>0.17407785391456401</v>
      </c>
      <c r="AR185">
        <v>0.100597754774748</v>
      </c>
      <c r="AS185">
        <v>1</v>
      </c>
      <c r="AT185" s="2">
        <v>9.4766000874746403E-4</v>
      </c>
      <c r="AU185">
        <v>1.1881235700806601</v>
      </c>
      <c r="AV185">
        <f t="shared" si="15"/>
        <v>1090228.6753634277</v>
      </c>
      <c r="AW185">
        <f t="shared" si="16"/>
        <v>790769.4503474345</v>
      </c>
      <c r="AX185">
        <f t="shared" si="17"/>
        <v>189784.66808338425</v>
      </c>
      <c r="AY185">
        <f t="shared" si="18"/>
        <v>109674.55693260902</v>
      </c>
      <c r="AZ185" cm="1">
        <f t="array" ref="AZ185">_xlfn.IFS(E185="H",AW185*AI185-AV185,E185="D",AX185*AJ185-AV185,E185="A",AY185*AK185-AV185)</f>
        <v>1033.1661160318181</v>
      </c>
      <c r="BA185">
        <f t="shared" si="19"/>
        <v>92567.921374471189</v>
      </c>
    </row>
    <row r="186" spans="1:53" x14ac:dyDescent="0.2">
      <c r="A186">
        <v>13</v>
      </c>
      <c r="B186" t="s">
        <v>67</v>
      </c>
      <c r="C186" s="1">
        <v>44171</v>
      </c>
      <c r="D186" t="s">
        <v>329</v>
      </c>
      <c r="E186" t="s">
        <v>49</v>
      </c>
      <c r="F186" t="s">
        <v>326</v>
      </c>
      <c r="G186" t="s">
        <v>135</v>
      </c>
      <c r="H186" t="s">
        <v>256</v>
      </c>
      <c r="I186" t="s">
        <v>327</v>
      </c>
      <c r="J186" t="s">
        <v>386</v>
      </c>
      <c r="K186" t="s">
        <v>54</v>
      </c>
      <c r="L186">
        <v>2020</v>
      </c>
      <c r="M186">
        <v>2.5</v>
      </c>
      <c r="N186">
        <v>2.75</v>
      </c>
      <c r="O186">
        <v>0.75</v>
      </c>
      <c r="P186">
        <v>1</v>
      </c>
      <c r="Q186">
        <v>2.2999999999999998</v>
      </c>
      <c r="R186">
        <v>3.75</v>
      </c>
      <c r="S186">
        <v>2.87</v>
      </c>
      <c r="T186">
        <v>2.35</v>
      </c>
      <c r="U186">
        <v>3.5</v>
      </c>
      <c r="V186">
        <v>2.95</v>
      </c>
      <c r="W186">
        <v>2.35</v>
      </c>
      <c r="X186">
        <v>3.4</v>
      </c>
      <c r="Y186">
        <v>3</v>
      </c>
      <c r="Z186">
        <v>2.4300000000000002</v>
      </c>
      <c r="AA186">
        <v>3.66</v>
      </c>
      <c r="AB186">
        <v>2.97</v>
      </c>
      <c r="AC186">
        <v>2.2999999999999998</v>
      </c>
      <c r="AD186">
        <v>3.4</v>
      </c>
      <c r="AE186">
        <v>3</v>
      </c>
      <c r="AF186">
        <v>2.2999999999999998</v>
      </c>
      <c r="AG186">
        <v>3.5</v>
      </c>
      <c r="AH186">
        <v>2.88</v>
      </c>
      <c r="AI186">
        <v>2.58</v>
      </c>
      <c r="AJ186">
        <v>3.75</v>
      </c>
      <c r="AK186">
        <v>3.04</v>
      </c>
      <c r="AL186">
        <v>2.36</v>
      </c>
      <c r="AM186">
        <v>3.54</v>
      </c>
      <c r="AN186">
        <v>2.9</v>
      </c>
      <c r="AO186">
        <v>1</v>
      </c>
      <c r="AP186">
        <v>0.39421540759798301</v>
      </c>
      <c r="AQ186">
        <v>0.27122020042741202</v>
      </c>
      <c r="AR186">
        <v>0.33456439197460403</v>
      </c>
      <c r="AS186">
        <v>1</v>
      </c>
      <c r="AT186">
        <v>1.7075751602796799E-2</v>
      </c>
      <c r="AU186">
        <v>1.20519932168346</v>
      </c>
      <c r="AV186">
        <f t="shared" si="15"/>
        <v>1182796.5967378989</v>
      </c>
      <c r="AW186">
        <f t="shared" si="16"/>
        <v>466276.64248853823</v>
      </c>
      <c r="AX186">
        <f t="shared" si="17"/>
        <v>320798.33003211435</v>
      </c>
      <c r="AY186">
        <f t="shared" si="18"/>
        <v>395721.62421724631</v>
      </c>
      <c r="AZ186" cm="1">
        <f t="array" ref="AZ186">_xlfn.IFS(E186="H",AW186*AI186-AV186,E186="D",AX186*AJ186-AV186,E186="A",AY186*AK186-AV186)</f>
        <v>20197.140882529784</v>
      </c>
      <c r="BA186">
        <f t="shared" si="19"/>
        <v>112765.06225700097</v>
      </c>
    </row>
    <row r="187" spans="1:53" x14ac:dyDescent="0.2">
      <c r="A187">
        <v>10</v>
      </c>
      <c r="B187" t="s">
        <v>198</v>
      </c>
      <c r="C187" s="1">
        <v>44172</v>
      </c>
      <c r="D187" t="s">
        <v>48</v>
      </c>
      <c r="E187" t="s">
        <v>57</v>
      </c>
      <c r="F187" t="s">
        <v>181</v>
      </c>
      <c r="G187" t="s">
        <v>274</v>
      </c>
      <c r="H187" t="s">
        <v>256</v>
      </c>
      <c r="I187" t="s">
        <v>344</v>
      </c>
      <c r="J187" t="s">
        <v>196</v>
      </c>
      <c r="K187" t="s">
        <v>54</v>
      </c>
      <c r="L187">
        <v>2020</v>
      </c>
      <c r="M187">
        <v>1.5</v>
      </c>
      <c r="N187">
        <v>1.25</v>
      </c>
      <c r="O187">
        <v>0.5</v>
      </c>
      <c r="P187">
        <v>0.25</v>
      </c>
      <c r="Q187">
        <v>1.72</v>
      </c>
      <c r="R187">
        <v>4</v>
      </c>
      <c r="S187">
        <v>4.5</v>
      </c>
      <c r="T187">
        <v>1.78</v>
      </c>
      <c r="U187">
        <v>3.8</v>
      </c>
      <c r="V187">
        <v>4.5</v>
      </c>
      <c r="W187">
        <v>1.75</v>
      </c>
      <c r="X187">
        <v>3.5</v>
      </c>
      <c r="Y187">
        <v>4.4000000000000004</v>
      </c>
      <c r="Z187">
        <v>1.84</v>
      </c>
      <c r="AA187">
        <v>3.79</v>
      </c>
      <c r="AB187">
        <v>4.5999999999999996</v>
      </c>
      <c r="AC187">
        <v>1.78</v>
      </c>
      <c r="AD187">
        <v>3.7</v>
      </c>
      <c r="AE187">
        <v>4.5999999999999996</v>
      </c>
      <c r="AF187">
        <v>1.75</v>
      </c>
      <c r="AG187">
        <v>3.5</v>
      </c>
      <c r="AH187">
        <v>4.75</v>
      </c>
      <c r="AI187">
        <v>1.86</v>
      </c>
      <c r="AJ187">
        <v>4</v>
      </c>
      <c r="AK187">
        <v>4.75</v>
      </c>
      <c r="AL187">
        <v>1.8</v>
      </c>
      <c r="AM187">
        <v>3.72</v>
      </c>
      <c r="AN187">
        <v>4.47</v>
      </c>
      <c r="AO187">
        <v>1</v>
      </c>
      <c r="AP187">
        <v>0.53862508858965197</v>
      </c>
      <c r="AQ187">
        <v>0.250460666194188</v>
      </c>
      <c r="AR187">
        <v>0.21091424521615801</v>
      </c>
      <c r="AS187">
        <v>1</v>
      </c>
      <c r="AT187">
        <v>1.8426647767542099E-3</v>
      </c>
      <c r="AU187">
        <v>1.20704198646021</v>
      </c>
      <c r="AV187">
        <f t="shared" si="15"/>
        <v>1295561.6589948998</v>
      </c>
      <c r="AW187">
        <f t="shared" si="16"/>
        <v>697822.01334948535</v>
      </c>
      <c r="AX187">
        <f t="shared" si="17"/>
        <v>324487.23620751069</v>
      </c>
      <c r="AY187">
        <f t="shared" si="18"/>
        <v>273252.40943790373</v>
      </c>
      <c r="AZ187" cm="1">
        <f t="array" ref="AZ187">_xlfn.IFS(E187="H",AW187*AI187-AV187,E187="D",AX187*AJ187-AV187,E187="A",AY187*AK187-AV187)</f>
        <v>2387.2858351429459</v>
      </c>
      <c r="BA187">
        <f t="shared" si="19"/>
        <v>115152.34809214392</v>
      </c>
    </row>
    <row r="188" spans="1:53" x14ac:dyDescent="0.2">
      <c r="A188">
        <v>11</v>
      </c>
      <c r="B188" t="s">
        <v>47</v>
      </c>
      <c r="C188" s="1">
        <v>44176</v>
      </c>
      <c r="D188" t="s">
        <v>48</v>
      </c>
      <c r="E188" t="s">
        <v>49</v>
      </c>
      <c r="F188" t="s">
        <v>109</v>
      </c>
      <c r="G188" t="s">
        <v>351</v>
      </c>
      <c r="H188" t="s">
        <v>256</v>
      </c>
      <c r="I188" t="s">
        <v>123</v>
      </c>
      <c r="J188" t="s">
        <v>387</v>
      </c>
      <c r="K188" t="s">
        <v>54</v>
      </c>
      <c r="L188">
        <v>2020</v>
      </c>
      <c r="M188">
        <v>1.25</v>
      </c>
      <c r="N188">
        <v>1.75</v>
      </c>
      <c r="O188">
        <v>1</v>
      </c>
      <c r="P188">
        <v>1</v>
      </c>
      <c r="Q188">
        <v>1.65</v>
      </c>
      <c r="R188">
        <v>4.2</v>
      </c>
      <c r="S188">
        <v>4.75</v>
      </c>
      <c r="T188">
        <v>1.7</v>
      </c>
      <c r="U188">
        <v>4.2</v>
      </c>
      <c r="V188">
        <v>4.5</v>
      </c>
      <c r="W188">
        <v>1.65</v>
      </c>
      <c r="X188">
        <v>4.3</v>
      </c>
      <c r="Y188">
        <v>4.7</v>
      </c>
      <c r="Z188">
        <v>1.72</v>
      </c>
      <c r="AA188">
        <v>4.2699999999999996</v>
      </c>
      <c r="AB188">
        <v>4.78</v>
      </c>
      <c r="AC188">
        <v>1.67</v>
      </c>
      <c r="AD188">
        <v>4.2</v>
      </c>
      <c r="AE188">
        <v>4.75</v>
      </c>
      <c r="AF188">
        <v>1.65</v>
      </c>
      <c r="AG188">
        <v>4</v>
      </c>
      <c r="AH188">
        <v>5</v>
      </c>
      <c r="AI188">
        <v>1.74</v>
      </c>
      <c r="AJ188">
        <v>4.45</v>
      </c>
      <c r="AK188">
        <v>5</v>
      </c>
      <c r="AL188">
        <v>1.69</v>
      </c>
      <c r="AM188">
        <v>4.1900000000000004</v>
      </c>
      <c r="AN188">
        <v>4.62</v>
      </c>
      <c r="AO188">
        <v>1</v>
      </c>
      <c r="AP188">
        <v>0.57503941281368698</v>
      </c>
      <c r="AQ188">
        <v>0.22484687152714899</v>
      </c>
      <c r="AR188">
        <v>0.200113715659163</v>
      </c>
      <c r="AS188">
        <v>1</v>
      </c>
      <c r="AT188" s="2">
        <v>5.6857829581602405E-4</v>
      </c>
      <c r="AU188">
        <v>1.20761056475603</v>
      </c>
      <c r="AV188">
        <f t="shared" si="15"/>
        <v>1410714.0070870437</v>
      </c>
      <c r="AW188">
        <f t="shared" si="16"/>
        <v>811216.15428337746</v>
      </c>
      <c r="AX188">
        <f t="shared" si="17"/>
        <v>317194.63111305097</v>
      </c>
      <c r="AY188">
        <f t="shared" si="18"/>
        <v>282303.22169061535</v>
      </c>
      <c r="AZ188" cm="1">
        <f t="array" ref="AZ188">_xlfn.IFS(E188="H",AW188*AI188-AV188,E188="D",AX188*AJ188-AV188,E188="A",AY188*AK188-AV188)</f>
        <v>802.1013660330791</v>
      </c>
      <c r="BA188">
        <f t="shared" si="19"/>
        <v>115954.449458177</v>
      </c>
    </row>
    <row r="189" spans="1:53" x14ac:dyDescent="0.2">
      <c r="A189">
        <v>11</v>
      </c>
      <c r="B189" t="s">
        <v>55</v>
      </c>
      <c r="C189" s="1">
        <v>44177</v>
      </c>
      <c r="D189" t="s">
        <v>73</v>
      </c>
      <c r="E189" t="s">
        <v>57</v>
      </c>
      <c r="F189" t="s">
        <v>76</v>
      </c>
      <c r="G189" t="s">
        <v>117</v>
      </c>
      <c r="H189" t="s">
        <v>256</v>
      </c>
      <c r="I189" t="s">
        <v>149</v>
      </c>
      <c r="J189" t="s">
        <v>388</v>
      </c>
      <c r="K189" t="s">
        <v>54</v>
      </c>
      <c r="L189">
        <v>2020</v>
      </c>
      <c r="M189">
        <v>2</v>
      </c>
      <c r="N189">
        <v>1.75</v>
      </c>
      <c r="O189">
        <v>1</v>
      </c>
      <c r="P189">
        <v>1.75</v>
      </c>
      <c r="Q189">
        <v>1.9</v>
      </c>
      <c r="R189">
        <v>4</v>
      </c>
      <c r="S189">
        <v>3.6</v>
      </c>
      <c r="T189">
        <v>1.95</v>
      </c>
      <c r="U189">
        <v>3.6</v>
      </c>
      <c r="V189">
        <v>3.8</v>
      </c>
      <c r="W189">
        <v>1.9</v>
      </c>
      <c r="X189">
        <v>3.8</v>
      </c>
      <c r="Y189">
        <v>3.7</v>
      </c>
      <c r="Z189">
        <v>1.93</v>
      </c>
      <c r="AA189">
        <v>3.81</v>
      </c>
      <c r="AB189">
        <v>4.0999999999999996</v>
      </c>
      <c r="AC189">
        <v>1.88</v>
      </c>
      <c r="AD189">
        <v>3.75</v>
      </c>
      <c r="AE189">
        <v>3.8</v>
      </c>
      <c r="AF189">
        <v>1.93</v>
      </c>
      <c r="AG189">
        <v>3.8</v>
      </c>
      <c r="AH189">
        <v>3.6</v>
      </c>
      <c r="AI189">
        <v>1.98</v>
      </c>
      <c r="AJ189">
        <v>4.08</v>
      </c>
      <c r="AK189">
        <v>4.0999999999999996</v>
      </c>
      <c r="AL189">
        <v>1.92</v>
      </c>
      <c r="AM189">
        <v>3.77</v>
      </c>
      <c r="AN189">
        <v>3.81</v>
      </c>
      <c r="AO189">
        <v>1</v>
      </c>
      <c r="AP189">
        <v>0.50807304005539899</v>
      </c>
      <c r="AQ189">
        <v>0.24656485767394301</v>
      </c>
      <c r="AR189">
        <v>0.245362102270656</v>
      </c>
      <c r="AS189">
        <v>1</v>
      </c>
      <c r="AT189">
        <v>5.98461930969129E-3</v>
      </c>
      <c r="AU189">
        <v>1.21359518406572</v>
      </c>
      <c r="AV189">
        <f t="shared" si="15"/>
        <v>1526668.4565452207</v>
      </c>
      <c r="AW189">
        <f t="shared" si="16"/>
        <v>775659.08387361502</v>
      </c>
      <c r="AX189">
        <f t="shared" si="17"/>
        <v>376422.79070337204</v>
      </c>
      <c r="AY189">
        <f t="shared" si="18"/>
        <v>374586.58196823369</v>
      </c>
      <c r="AZ189" cm="1">
        <f t="array" ref="AZ189">_xlfn.IFS(E189="H",AW189*AI189-AV189,E189="D",AX189*AJ189-AV189,E189="A",AY189*AK189-AV189)</f>
        <v>9136.529524537269</v>
      </c>
      <c r="BA189">
        <f t="shared" si="19"/>
        <v>125090.97898271427</v>
      </c>
    </row>
    <row r="190" spans="1:53" x14ac:dyDescent="0.2">
      <c r="A190">
        <v>12</v>
      </c>
      <c r="B190" t="s">
        <v>202</v>
      </c>
      <c r="C190" s="1">
        <v>44181</v>
      </c>
      <c r="D190" t="s">
        <v>48</v>
      </c>
      <c r="E190" t="s">
        <v>57</v>
      </c>
      <c r="F190" t="s">
        <v>371</v>
      </c>
      <c r="G190" t="s">
        <v>241</v>
      </c>
      <c r="H190" t="s">
        <v>256</v>
      </c>
      <c r="I190" t="s">
        <v>389</v>
      </c>
      <c r="J190" t="s">
        <v>276</v>
      </c>
      <c r="K190" t="s">
        <v>54</v>
      </c>
      <c r="L190">
        <v>2020</v>
      </c>
      <c r="M190">
        <v>0.5</v>
      </c>
      <c r="N190">
        <v>1</v>
      </c>
      <c r="O190">
        <v>0.75</v>
      </c>
      <c r="P190">
        <v>1</v>
      </c>
      <c r="Q190">
        <v>3.1</v>
      </c>
      <c r="R190">
        <v>3.5</v>
      </c>
      <c r="S190">
        <v>2.2000000000000002</v>
      </c>
      <c r="T190">
        <v>3.25</v>
      </c>
      <c r="U190">
        <v>3.5</v>
      </c>
      <c r="V190">
        <v>2.2000000000000002</v>
      </c>
      <c r="W190">
        <v>3.15</v>
      </c>
      <c r="X190">
        <v>3.55</v>
      </c>
      <c r="Y190">
        <v>2.2000000000000002</v>
      </c>
      <c r="Z190">
        <v>3.27</v>
      </c>
      <c r="AA190">
        <v>3.64</v>
      </c>
      <c r="AB190">
        <v>2.2599999999999998</v>
      </c>
      <c r="AC190">
        <v>3.25</v>
      </c>
      <c r="AD190">
        <v>3.5</v>
      </c>
      <c r="AE190">
        <v>2.2000000000000002</v>
      </c>
      <c r="AF190">
        <v>3.2</v>
      </c>
      <c r="AG190">
        <v>3.5</v>
      </c>
      <c r="AH190">
        <v>2.2000000000000002</v>
      </c>
      <c r="AI190">
        <v>3.4</v>
      </c>
      <c r="AJ190">
        <v>3.84</v>
      </c>
      <c r="AK190">
        <v>2.29</v>
      </c>
      <c r="AL190">
        <v>3.19</v>
      </c>
      <c r="AM190">
        <v>3.55</v>
      </c>
      <c r="AN190">
        <v>2.2000000000000002</v>
      </c>
      <c r="AO190">
        <v>1</v>
      </c>
      <c r="AP190">
        <v>0.29672421007166999</v>
      </c>
      <c r="AQ190">
        <v>0.26272456100095798</v>
      </c>
      <c r="AR190">
        <v>0.44055122892737097</v>
      </c>
      <c r="AS190">
        <v>1</v>
      </c>
      <c r="AT190">
        <v>8.8623142436798901E-3</v>
      </c>
      <c r="AU190">
        <v>1.2224574983094001</v>
      </c>
      <c r="AV190">
        <f t="shared" si="15"/>
        <v>1651759.4355279349</v>
      </c>
      <c r="AW190">
        <f t="shared" si="16"/>
        <v>490117.013735455</v>
      </c>
      <c r="AX190">
        <f t="shared" si="17"/>
        <v>433957.77257826744</v>
      </c>
      <c r="AY190">
        <f t="shared" si="18"/>
        <v>727684.64921421255</v>
      </c>
      <c r="AZ190" cm="1">
        <f t="array" ref="AZ190">_xlfn.IFS(E190="H",AW190*AI190-AV190,E190="D",AX190*AJ190-AV190,E190="A",AY190*AK190-AV190)</f>
        <v>14638.411172611872</v>
      </c>
      <c r="BA190">
        <f t="shared" si="19"/>
        <v>139729.39015532614</v>
      </c>
    </row>
    <row r="191" spans="1:53" x14ac:dyDescent="0.2">
      <c r="A191">
        <v>15</v>
      </c>
      <c r="B191" t="s">
        <v>202</v>
      </c>
      <c r="C191" s="1">
        <v>44181</v>
      </c>
      <c r="D191" t="s">
        <v>68</v>
      </c>
      <c r="E191" t="s">
        <v>49</v>
      </c>
      <c r="F191" t="s">
        <v>69</v>
      </c>
      <c r="G191" t="s">
        <v>59</v>
      </c>
      <c r="H191" t="s">
        <v>256</v>
      </c>
      <c r="I191" t="s">
        <v>71</v>
      </c>
      <c r="J191" t="s">
        <v>328</v>
      </c>
      <c r="K191" t="s">
        <v>54</v>
      </c>
      <c r="L191">
        <v>2020</v>
      </c>
      <c r="M191">
        <v>0.75</v>
      </c>
      <c r="N191">
        <v>0.75</v>
      </c>
      <c r="O191">
        <v>2.5</v>
      </c>
      <c r="P191">
        <v>1.25</v>
      </c>
      <c r="Q191">
        <v>2.4</v>
      </c>
      <c r="R191">
        <v>3.4</v>
      </c>
      <c r="S191">
        <v>2.87</v>
      </c>
      <c r="T191">
        <v>2.5499999999999998</v>
      </c>
      <c r="U191">
        <v>3.2</v>
      </c>
      <c r="V191">
        <v>2.9</v>
      </c>
      <c r="W191">
        <v>2.5</v>
      </c>
      <c r="X191">
        <v>3</v>
      </c>
      <c r="Y191">
        <v>2.95</v>
      </c>
      <c r="Z191">
        <v>2.5499999999999998</v>
      </c>
      <c r="AA191">
        <v>3.34</v>
      </c>
      <c r="AB191">
        <v>3.03</v>
      </c>
      <c r="AC191">
        <v>2.5</v>
      </c>
      <c r="AD191">
        <v>3.2</v>
      </c>
      <c r="AE191">
        <v>2.88</v>
      </c>
      <c r="AF191">
        <v>2.5</v>
      </c>
      <c r="AG191">
        <v>3.2</v>
      </c>
      <c r="AH191">
        <v>2.9</v>
      </c>
      <c r="AI191">
        <v>2.6</v>
      </c>
      <c r="AJ191">
        <v>3.44</v>
      </c>
      <c r="AK191">
        <v>3.08</v>
      </c>
      <c r="AL191">
        <v>2.5</v>
      </c>
      <c r="AM191">
        <v>3.24</v>
      </c>
      <c r="AN191">
        <v>2.92</v>
      </c>
      <c r="AO191">
        <v>1</v>
      </c>
      <c r="AP191">
        <v>0.38461985247139402</v>
      </c>
      <c r="AQ191">
        <v>0.29070105128651902</v>
      </c>
      <c r="AR191">
        <v>0.32467909624208602</v>
      </c>
      <c r="AS191">
        <v>1</v>
      </c>
      <c r="AT191" s="2">
        <v>1.16164256258599E-5</v>
      </c>
      <c r="AU191">
        <v>1.2224691147350299</v>
      </c>
      <c r="AV191">
        <f t="shared" si="15"/>
        <v>1791488.825683261</v>
      </c>
      <c r="AW191">
        <f t="shared" si="16"/>
        <v>689042.16783844773</v>
      </c>
      <c r="AX191">
        <f t="shared" si="17"/>
        <v>520787.68499417562</v>
      </c>
      <c r="AY191">
        <f t="shared" si="18"/>
        <v>581658.97285063774</v>
      </c>
      <c r="AZ191" cm="1">
        <f t="array" ref="AZ191">_xlfn.IFS(E191="H",AW191*AI191-AV191,E191="D",AX191*AJ191-AV191,E191="A",AY191*AK191-AV191)</f>
        <v>20.810696703149006</v>
      </c>
      <c r="BA191">
        <f t="shared" si="19"/>
        <v>139750.20085202929</v>
      </c>
    </row>
    <row r="192" spans="1:53" x14ac:dyDescent="0.2">
      <c r="A192">
        <v>12</v>
      </c>
      <c r="B192" t="s">
        <v>229</v>
      </c>
      <c r="C192" s="1">
        <v>44182</v>
      </c>
      <c r="D192" t="s">
        <v>48</v>
      </c>
      <c r="E192" t="s">
        <v>49</v>
      </c>
      <c r="F192" t="s">
        <v>108</v>
      </c>
      <c r="G192" t="s">
        <v>375</v>
      </c>
      <c r="H192" t="s">
        <v>256</v>
      </c>
      <c r="I192" t="s">
        <v>110</v>
      </c>
      <c r="J192" t="s">
        <v>390</v>
      </c>
      <c r="K192" t="s">
        <v>54</v>
      </c>
      <c r="L192">
        <v>2020</v>
      </c>
      <c r="M192">
        <v>2.5</v>
      </c>
      <c r="N192">
        <v>2.5</v>
      </c>
      <c r="O192">
        <v>1</v>
      </c>
      <c r="P192">
        <v>2</v>
      </c>
      <c r="Q192">
        <v>1.4</v>
      </c>
      <c r="R192">
        <v>5</v>
      </c>
      <c r="S192">
        <v>6.5</v>
      </c>
      <c r="T192">
        <v>1.44</v>
      </c>
      <c r="U192">
        <v>4.75</v>
      </c>
      <c r="V192">
        <v>7</v>
      </c>
      <c r="W192">
        <v>1.43</v>
      </c>
      <c r="X192">
        <v>5.2</v>
      </c>
      <c r="Y192">
        <v>6.4</v>
      </c>
      <c r="Z192">
        <v>1.44</v>
      </c>
      <c r="AA192">
        <v>5.28</v>
      </c>
      <c r="AB192">
        <v>7.14</v>
      </c>
      <c r="AC192">
        <v>1.42</v>
      </c>
      <c r="AD192">
        <v>4.8</v>
      </c>
      <c r="AE192">
        <v>7.5</v>
      </c>
      <c r="AF192">
        <v>1.36</v>
      </c>
      <c r="AG192">
        <v>4.8</v>
      </c>
      <c r="AH192">
        <v>7.5</v>
      </c>
      <c r="AI192">
        <v>1.47</v>
      </c>
      <c r="AJ192">
        <v>5.38</v>
      </c>
      <c r="AK192">
        <v>7.5</v>
      </c>
      <c r="AL192">
        <v>1.42</v>
      </c>
      <c r="AM192">
        <v>5.01</v>
      </c>
      <c r="AN192">
        <v>6.75</v>
      </c>
      <c r="AO192">
        <v>1</v>
      </c>
      <c r="AP192">
        <v>0.68062668259012604</v>
      </c>
      <c r="AQ192">
        <v>0.185970487622209</v>
      </c>
      <c r="AR192">
        <v>0.13340282978766399</v>
      </c>
      <c r="AS192">
        <v>1</v>
      </c>
      <c r="AT192" s="2">
        <v>5.21223407485393E-4</v>
      </c>
      <c r="AU192">
        <v>1.22299033814251</v>
      </c>
      <c r="AV192">
        <f t="shared" si="15"/>
        <v>1931239.0265352903</v>
      </c>
      <c r="AW192">
        <f t="shared" si="16"/>
        <v>1314452.8119192992</v>
      </c>
      <c r="AX192">
        <f t="shared" si="17"/>
        <v>359153.46347980847</v>
      </c>
      <c r="AY192">
        <f t="shared" si="18"/>
        <v>257632.75113618263</v>
      </c>
      <c r="AZ192" cm="1">
        <f t="array" ref="AZ192">_xlfn.IFS(E192="H",AW192*AI192-AV192,E192="D",AX192*AJ192-AV192,E192="A",AY192*AK192-AV192)</f>
        <v>1006.606986079365</v>
      </c>
      <c r="BA192">
        <f t="shared" si="19"/>
        <v>140756.80783810865</v>
      </c>
    </row>
    <row r="193" spans="1:53" x14ac:dyDescent="0.2">
      <c r="A193">
        <v>13</v>
      </c>
      <c r="B193" t="s">
        <v>55</v>
      </c>
      <c r="C193" s="1">
        <v>44184</v>
      </c>
      <c r="D193" t="s">
        <v>73</v>
      </c>
      <c r="E193" t="s">
        <v>74</v>
      </c>
      <c r="F193" t="s">
        <v>75</v>
      </c>
      <c r="G193" t="s">
        <v>171</v>
      </c>
      <c r="H193" t="s">
        <v>256</v>
      </c>
      <c r="I193" t="s">
        <v>77</v>
      </c>
      <c r="J193" t="s">
        <v>194</v>
      </c>
      <c r="K193" t="s">
        <v>54</v>
      </c>
      <c r="L193">
        <v>2020</v>
      </c>
      <c r="M193">
        <v>0.5</v>
      </c>
      <c r="N193">
        <v>1.25</v>
      </c>
      <c r="O193">
        <v>0.5</v>
      </c>
      <c r="P193">
        <v>1.25</v>
      </c>
      <c r="Q193">
        <v>2.37</v>
      </c>
      <c r="R193">
        <v>3.5</v>
      </c>
      <c r="S193">
        <v>2.9</v>
      </c>
      <c r="T193">
        <v>2.5</v>
      </c>
      <c r="U193">
        <v>3.2</v>
      </c>
      <c r="V193">
        <v>3</v>
      </c>
      <c r="W193">
        <v>2.4500000000000002</v>
      </c>
      <c r="X193">
        <v>3.25</v>
      </c>
      <c r="Y193">
        <v>2.9</v>
      </c>
      <c r="Z193">
        <v>2.5299999999999998</v>
      </c>
      <c r="AA193">
        <v>3.33</v>
      </c>
      <c r="AB193">
        <v>3.06</v>
      </c>
      <c r="AC193">
        <v>2.4500000000000002</v>
      </c>
      <c r="AD193">
        <v>3.2</v>
      </c>
      <c r="AE193">
        <v>3</v>
      </c>
      <c r="AF193">
        <v>2.4</v>
      </c>
      <c r="AG193">
        <v>3.4</v>
      </c>
      <c r="AH193">
        <v>2.88</v>
      </c>
      <c r="AI193">
        <v>2.56</v>
      </c>
      <c r="AJ193">
        <v>3.63</v>
      </c>
      <c r="AK193">
        <v>3.06</v>
      </c>
      <c r="AL193">
        <v>2.4700000000000002</v>
      </c>
      <c r="AM193">
        <v>3.3</v>
      </c>
      <c r="AN193">
        <v>2.94</v>
      </c>
      <c r="AO193">
        <v>1</v>
      </c>
      <c r="AP193">
        <v>0.39341649488917602</v>
      </c>
      <c r="AQ193">
        <v>0.277450751216609</v>
      </c>
      <c r="AR193">
        <v>0.32913275389421298</v>
      </c>
      <c r="AS193">
        <v>0.999999999999999</v>
      </c>
      <c r="AT193">
        <v>7.1462269162929602E-3</v>
      </c>
      <c r="AU193">
        <v>1.2301365650588001</v>
      </c>
      <c r="AV193">
        <f t="shared" si="15"/>
        <v>2071995.8343733989</v>
      </c>
      <c r="AW193">
        <f t="shared" si="16"/>
        <v>815157.33858415822</v>
      </c>
      <c r="AX193">
        <f t="shared" si="17"/>
        <v>574876.80076458538</v>
      </c>
      <c r="AY193">
        <f t="shared" si="18"/>
        <v>681961.6950246552</v>
      </c>
      <c r="AZ193" cm="1">
        <f t="array" ref="AZ193">_xlfn.IFS(E193="H",AW193*AI193-AV193,E193="D",AX193*AJ193-AV193,E193="A",AY193*AK193-AV193)</f>
        <v>14806.95240204595</v>
      </c>
      <c r="BA193">
        <f t="shared" si="19"/>
        <v>155563.7602401546</v>
      </c>
    </row>
    <row r="194" spans="1:53" x14ac:dyDescent="0.2">
      <c r="A194">
        <v>13</v>
      </c>
      <c r="B194" t="s">
        <v>55</v>
      </c>
      <c r="C194" s="1">
        <v>44184</v>
      </c>
      <c r="D194" t="s">
        <v>48</v>
      </c>
      <c r="E194" t="s">
        <v>74</v>
      </c>
      <c r="F194" t="s">
        <v>187</v>
      </c>
      <c r="G194" t="s">
        <v>132</v>
      </c>
      <c r="H194" t="s">
        <v>256</v>
      </c>
      <c r="I194" t="s">
        <v>188</v>
      </c>
      <c r="J194" t="s">
        <v>279</v>
      </c>
      <c r="K194" t="s">
        <v>54</v>
      </c>
      <c r="L194">
        <v>2020</v>
      </c>
      <c r="M194">
        <v>1</v>
      </c>
      <c r="N194">
        <v>0.5</v>
      </c>
      <c r="O194">
        <v>2</v>
      </c>
      <c r="P194">
        <v>2.25</v>
      </c>
      <c r="Q194">
        <v>8.5</v>
      </c>
      <c r="R194">
        <v>5.25</v>
      </c>
      <c r="S194">
        <v>1.33</v>
      </c>
      <c r="T194">
        <v>8.25</v>
      </c>
      <c r="U194">
        <v>5.25</v>
      </c>
      <c r="V194">
        <v>1.36</v>
      </c>
      <c r="W194">
        <v>8</v>
      </c>
      <c r="X194">
        <v>5.0999999999999996</v>
      </c>
      <c r="Y194">
        <v>1.37</v>
      </c>
      <c r="Z194">
        <v>8.77</v>
      </c>
      <c r="AA194">
        <v>5.24</v>
      </c>
      <c r="AB194">
        <v>1.39</v>
      </c>
      <c r="AC194">
        <v>9</v>
      </c>
      <c r="AD194">
        <v>4.8</v>
      </c>
      <c r="AE194">
        <v>1.36</v>
      </c>
      <c r="AF194">
        <v>10</v>
      </c>
      <c r="AG194">
        <v>5</v>
      </c>
      <c r="AH194">
        <v>1.33</v>
      </c>
      <c r="AI194">
        <v>10</v>
      </c>
      <c r="AJ194">
        <v>5.5</v>
      </c>
      <c r="AK194">
        <v>1.41</v>
      </c>
      <c r="AL194">
        <v>8.31</v>
      </c>
      <c r="AM194">
        <v>5.0599999999999996</v>
      </c>
      <c r="AN194">
        <v>1.37</v>
      </c>
      <c r="AO194">
        <v>1</v>
      </c>
      <c r="AP194">
        <v>0.10090430030576999</v>
      </c>
      <c r="AQ194">
        <v>0.18346236419230999</v>
      </c>
      <c r="AR194">
        <v>0.71563333550191899</v>
      </c>
      <c r="AS194">
        <v>1</v>
      </c>
      <c r="AT194">
        <v>9.0430030577060005E-3</v>
      </c>
      <c r="AU194">
        <v>1.2391795681165101</v>
      </c>
      <c r="AV194">
        <f t="shared" si="15"/>
        <v>2227559.5946135535</v>
      </c>
      <c r="AW194">
        <f t="shared" si="16"/>
        <v>224770.34228388662</v>
      </c>
      <c r="AX194">
        <f t="shared" si="17"/>
        <v>408673.3496070666</v>
      </c>
      <c r="AY194">
        <f t="shared" si="18"/>
        <v>1594115.9027226001</v>
      </c>
      <c r="AZ194" cm="1">
        <f t="array" ref="AZ194">_xlfn.IFS(E194="H",AW194*AI194-AV194,E194="D",AX194*AJ194-AV194,E194="A",AY194*AK194-AV194)</f>
        <v>20143.828225312755</v>
      </c>
      <c r="BA194">
        <f t="shared" si="19"/>
        <v>175707.58846546736</v>
      </c>
    </row>
    <row r="195" spans="1:53" x14ac:dyDescent="0.2">
      <c r="A195">
        <v>14</v>
      </c>
      <c r="B195" t="s">
        <v>55</v>
      </c>
      <c r="C195" s="1">
        <v>44184</v>
      </c>
      <c r="D195" t="s">
        <v>378</v>
      </c>
      <c r="E195" t="s">
        <v>57</v>
      </c>
      <c r="F195" t="s">
        <v>87</v>
      </c>
      <c r="G195" t="s">
        <v>353</v>
      </c>
      <c r="H195" t="s">
        <v>256</v>
      </c>
      <c r="I195" t="s">
        <v>167</v>
      </c>
      <c r="J195" t="s">
        <v>391</v>
      </c>
      <c r="K195" t="s">
        <v>54</v>
      </c>
      <c r="L195">
        <v>2020</v>
      </c>
      <c r="M195">
        <v>3</v>
      </c>
      <c r="N195">
        <v>3</v>
      </c>
      <c r="O195">
        <v>0.5</v>
      </c>
      <c r="P195">
        <v>1</v>
      </c>
      <c r="Q195">
        <v>1.3</v>
      </c>
      <c r="R195">
        <v>6</v>
      </c>
      <c r="S195">
        <v>8.5</v>
      </c>
      <c r="T195">
        <v>1.3</v>
      </c>
      <c r="U195">
        <v>6</v>
      </c>
      <c r="V195">
        <v>8.75</v>
      </c>
      <c r="W195">
        <v>1.33</v>
      </c>
      <c r="X195">
        <v>6</v>
      </c>
      <c r="Y195">
        <v>8.25</v>
      </c>
      <c r="Z195">
        <v>1.33</v>
      </c>
      <c r="AA195">
        <v>5.94</v>
      </c>
      <c r="AB195">
        <v>9.43</v>
      </c>
      <c r="AC195">
        <v>1.3</v>
      </c>
      <c r="AD195">
        <v>5.8</v>
      </c>
      <c r="AE195">
        <v>9.5</v>
      </c>
      <c r="AF195">
        <v>1.29</v>
      </c>
      <c r="AG195">
        <v>6</v>
      </c>
      <c r="AH195">
        <v>9</v>
      </c>
      <c r="AI195">
        <v>1.35</v>
      </c>
      <c r="AJ195">
        <v>6.5</v>
      </c>
      <c r="AK195">
        <v>9.8000000000000007</v>
      </c>
      <c r="AL195">
        <v>1.31</v>
      </c>
      <c r="AM195">
        <v>5.86</v>
      </c>
      <c r="AN195">
        <v>8.76</v>
      </c>
      <c r="AO195">
        <v>1</v>
      </c>
      <c r="AP195">
        <v>0.74324718511172005</v>
      </c>
      <c r="AQ195">
        <v>0.15436672306166499</v>
      </c>
      <c r="AR195">
        <v>0.102386091826614</v>
      </c>
      <c r="AS195">
        <v>1</v>
      </c>
      <c r="AT195">
        <v>3.3836999008225398E-3</v>
      </c>
      <c r="AU195">
        <v>1.24256326801733</v>
      </c>
      <c r="AV195">
        <f t="shared" si="15"/>
        <v>2403267.1830790211</v>
      </c>
      <c r="AW195">
        <f t="shared" si="16"/>
        <v>1786221.5688948561</v>
      </c>
      <c r="AX195">
        <f t="shared" si="17"/>
        <v>370984.47969354701</v>
      </c>
      <c r="AY195">
        <f t="shared" si="18"/>
        <v>246061.13449061793</v>
      </c>
      <c r="AZ195" cm="1">
        <f t="array" ref="AZ195">_xlfn.IFS(E195="H",AW195*AI195-AV195,E195="D",AX195*AJ195-AV195,E195="A",AY195*AK195-AV195)</f>
        <v>8131.9349290346727</v>
      </c>
      <c r="BA195">
        <f t="shared" si="19"/>
        <v>183839.52339450203</v>
      </c>
    </row>
    <row r="196" spans="1:53" x14ac:dyDescent="0.2">
      <c r="A196">
        <v>16</v>
      </c>
      <c r="B196" t="s">
        <v>55</v>
      </c>
      <c r="C196" s="1">
        <v>44184</v>
      </c>
      <c r="D196" t="s">
        <v>68</v>
      </c>
      <c r="E196" t="s">
        <v>74</v>
      </c>
      <c r="F196" t="s">
        <v>104</v>
      </c>
      <c r="G196" t="s">
        <v>50</v>
      </c>
      <c r="H196" t="s">
        <v>256</v>
      </c>
      <c r="I196" t="s">
        <v>245</v>
      </c>
      <c r="J196" t="s">
        <v>72</v>
      </c>
      <c r="K196" t="s">
        <v>54</v>
      </c>
      <c r="L196">
        <v>2020</v>
      </c>
      <c r="M196">
        <v>0.25</v>
      </c>
      <c r="N196">
        <v>0.75</v>
      </c>
      <c r="O196">
        <v>2.5</v>
      </c>
      <c r="P196">
        <v>1.5</v>
      </c>
      <c r="Q196">
        <v>6.5</v>
      </c>
      <c r="R196">
        <v>4</v>
      </c>
      <c r="S196">
        <v>1.55</v>
      </c>
      <c r="T196">
        <v>5</v>
      </c>
      <c r="U196">
        <v>4.4000000000000004</v>
      </c>
      <c r="V196">
        <v>1.6</v>
      </c>
      <c r="W196">
        <v>5.5</v>
      </c>
      <c r="X196">
        <v>4</v>
      </c>
      <c r="Y196">
        <v>1.6</v>
      </c>
      <c r="Z196">
        <v>5.98</v>
      </c>
      <c r="AA196">
        <v>4.38</v>
      </c>
      <c r="AB196">
        <v>1.59</v>
      </c>
      <c r="AC196">
        <v>5.8</v>
      </c>
      <c r="AD196">
        <v>4</v>
      </c>
      <c r="AE196">
        <v>1.57</v>
      </c>
      <c r="AF196">
        <v>6</v>
      </c>
      <c r="AG196">
        <v>4.2</v>
      </c>
      <c r="AH196">
        <v>1.53</v>
      </c>
      <c r="AI196">
        <v>6.5</v>
      </c>
      <c r="AJ196">
        <v>4.5</v>
      </c>
      <c r="AK196">
        <v>1.64</v>
      </c>
      <c r="AL196">
        <v>5.5</v>
      </c>
      <c r="AM196">
        <v>4.21</v>
      </c>
      <c r="AN196">
        <v>1.58</v>
      </c>
      <c r="AO196">
        <v>1</v>
      </c>
      <c r="AP196">
        <v>0.15605836329033601</v>
      </c>
      <c r="AQ196">
        <v>0.22541763586381799</v>
      </c>
      <c r="AR196">
        <v>0.61852400084584402</v>
      </c>
      <c r="AS196">
        <v>1</v>
      </c>
      <c r="AT196">
        <v>1.43793613871854E-2</v>
      </c>
      <c r="AU196">
        <v>1.2569426294045201</v>
      </c>
      <c r="AV196">
        <f t="shared" si="15"/>
        <v>2587106.7064735233</v>
      </c>
      <c r="AW196">
        <f t="shared" si="16"/>
        <v>403739.6382697103</v>
      </c>
      <c r="AX196">
        <f t="shared" si="17"/>
        <v>583179.47750069271</v>
      </c>
      <c r="AY196">
        <f t="shared" si="18"/>
        <v>1600187.5907031202</v>
      </c>
      <c r="AZ196" cm="1">
        <f t="array" ref="AZ196">_xlfn.IFS(E196="H",AW196*AI196-AV196,E196="D",AX196*AJ196-AV196,E196="A",AY196*AK196-AV196)</f>
        <v>37200.942279593553</v>
      </c>
      <c r="BA196">
        <f t="shared" si="19"/>
        <v>221040.46567409558</v>
      </c>
    </row>
    <row r="197" spans="1:53" x14ac:dyDescent="0.2">
      <c r="A197">
        <v>14</v>
      </c>
      <c r="B197" t="s">
        <v>55</v>
      </c>
      <c r="C197" s="1">
        <v>44184</v>
      </c>
      <c r="D197" t="s">
        <v>99</v>
      </c>
      <c r="E197" t="s">
        <v>49</v>
      </c>
      <c r="F197" t="s">
        <v>252</v>
      </c>
      <c r="G197" t="s">
        <v>178</v>
      </c>
      <c r="H197" t="s">
        <v>256</v>
      </c>
      <c r="I197" t="s">
        <v>253</v>
      </c>
      <c r="J197" t="s">
        <v>155</v>
      </c>
      <c r="K197" t="s">
        <v>54</v>
      </c>
      <c r="L197">
        <v>2020</v>
      </c>
      <c r="M197">
        <v>1</v>
      </c>
      <c r="N197">
        <v>1</v>
      </c>
      <c r="O197">
        <v>1</v>
      </c>
      <c r="P197">
        <v>0.25</v>
      </c>
      <c r="Q197">
        <v>2.4500000000000002</v>
      </c>
      <c r="R197">
        <v>3.5</v>
      </c>
      <c r="S197">
        <v>2.8</v>
      </c>
      <c r="T197">
        <v>2.25</v>
      </c>
      <c r="U197">
        <v>3.5</v>
      </c>
      <c r="V197">
        <v>3.1</v>
      </c>
      <c r="W197">
        <v>2.4</v>
      </c>
      <c r="X197">
        <v>3.4</v>
      </c>
      <c r="Y197">
        <v>2.9</v>
      </c>
      <c r="Z197">
        <v>2.5</v>
      </c>
      <c r="AA197">
        <v>3.47</v>
      </c>
      <c r="AB197">
        <v>2.99</v>
      </c>
      <c r="AC197">
        <v>2.4500000000000002</v>
      </c>
      <c r="AD197">
        <v>3.4</v>
      </c>
      <c r="AE197">
        <v>2.9</v>
      </c>
      <c r="AF197">
        <v>2.38</v>
      </c>
      <c r="AG197">
        <v>3.4</v>
      </c>
      <c r="AH197">
        <v>3</v>
      </c>
      <c r="AI197">
        <v>2.5299999999999998</v>
      </c>
      <c r="AJ197">
        <v>3.6</v>
      </c>
      <c r="AK197">
        <v>3.1</v>
      </c>
      <c r="AL197">
        <v>2.42</v>
      </c>
      <c r="AM197">
        <v>3.44</v>
      </c>
      <c r="AN197">
        <v>2.93</v>
      </c>
      <c r="AO197">
        <v>1</v>
      </c>
      <c r="AP197">
        <v>0.39699761659136901</v>
      </c>
      <c r="AQ197">
        <v>0.27900110277115697</v>
      </c>
      <c r="AR197">
        <v>0.32400128063747202</v>
      </c>
      <c r="AS197">
        <v>1</v>
      </c>
      <c r="AT197">
        <v>4.4039699761659803E-3</v>
      </c>
      <c r="AU197">
        <v>1.2613465993806801</v>
      </c>
      <c r="AV197">
        <f t="shared" si="15"/>
        <v>2808147.1721476191</v>
      </c>
      <c r="AW197">
        <f t="shared" si="16"/>
        <v>1114827.7343804003</v>
      </c>
      <c r="AX197">
        <f t="shared" si="17"/>
        <v>783476.15777289227</v>
      </c>
      <c r="AY197">
        <f t="shared" si="18"/>
        <v>909843.27999432653</v>
      </c>
      <c r="AZ197" cm="1">
        <f t="array" ref="AZ197">_xlfn.IFS(E197="H",AW197*AI197-AV197,E197="D",AX197*AJ197-AV197,E197="A",AY197*AK197-AV197)</f>
        <v>12366.99583479343</v>
      </c>
      <c r="BA197">
        <f t="shared" si="19"/>
        <v>233407.46150888901</v>
      </c>
    </row>
    <row r="198" spans="1:53" x14ac:dyDescent="0.2">
      <c r="A198">
        <v>13</v>
      </c>
      <c r="B198" t="s">
        <v>67</v>
      </c>
      <c r="C198" s="1">
        <v>44185</v>
      </c>
      <c r="D198" t="s">
        <v>183</v>
      </c>
      <c r="E198" t="s">
        <v>49</v>
      </c>
      <c r="F198" t="s">
        <v>351</v>
      </c>
      <c r="G198" t="s">
        <v>274</v>
      </c>
      <c r="H198" t="s">
        <v>256</v>
      </c>
      <c r="I198" t="s">
        <v>372</v>
      </c>
      <c r="J198" t="s">
        <v>298</v>
      </c>
      <c r="K198" t="s">
        <v>54</v>
      </c>
      <c r="L198">
        <v>2020</v>
      </c>
      <c r="M198">
        <v>0.5</v>
      </c>
      <c r="N198">
        <v>0.75</v>
      </c>
      <c r="O198">
        <v>0.75</v>
      </c>
      <c r="P198">
        <v>0.5</v>
      </c>
      <c r="Q198">
        <v>2.2999999999999998</v>
      </c>
      <c r="R198">
        <v>3.4</v>
      </c>
      <c r="S198">
        <v>3.1</v>
      </c>
      <c r="T198">
        <v>2.25</v>
      </c>
      <c r="U198">
        <v>3.4</v>
      </c>
      <c r="V198">
        <v>3.25</v>
      </c>
      <c r="W198">
        <v>2.2999999999999998</v>
      </c>
      <c r="X198">
        <v>3.35</v>
      </c>
      <c r="Y198">
        <v>3.15</v>
      </c>
      <c r="Z198">
        <v>2.33</v>
      </c>
      <c r="AA198">
        <v>3.47</v>
      </c>
      <c r="AB198">
        <v>3.28</v>
      </c>
      <c r="AC198">
        <v>2.35</v>
      </c>
      <c r="AD198">
        <v>3.3</v>
      </c>
      <c r="AE198">
        <v>3.1</v>
      </c>
      <c r="AF198">
        <v>2.25</v>
      </c>
      <c r="AG198">
        <v>3.2</v>
      </c>
      <c r="AH198">
        <v>3.2</v>
      </c>
      <c r="AI198">
        <v>2.4</v>
      </c>
      <c r="AJ198">
        <v>3.6</v>
      </c>
      <c r="AK198">
        <v>3.29</v>
      </c>
      <c r="AL198">
        <v>2.2999999999999998</v>
      </c>
      <c r="AM198">
        <v>3.37</v>
      </c>
      <c r="AN198">
        <v>3.15</v>
      </c>
      <c r="AO198">
        <v>1</v>
      </c>
      <c r="AP198">
        <v>0.41733615221987302</v>
      </c>
      <c r="AQ198">
        <v>0.278224101479915</v>
      </c>
      <c r="AR198">
        <v>0.30443974630021098</v>
      </c>
      <c r="AS198">
        <v>1</v>
      </c>
      <c r="AT198">
        <v>1.6067653276954301E-3</v>
      </c>
      <c r="AU198">
        <v>1.2629533647083799</v>
      </c>
      <c r="AV198">
        <f t="shared" si="15"/>
        <v>3041554.6336565083</v>
      </c>
      <c r="AW198">
        <f t="shared" si="16"/>
        <v>1269350.7075767331</v>
      </c>
      <c r="AX198">
        <f t="shared" si="17"/>
        <v>846233.80505115539</v>
      </c>
      <c r="AY198">
        <f t="shared" si="18"/>
        <v>925970.12102861982</v>
      </c>
      <c r="AZ198" cm="1">
        <f t="array" ref="AZ198">_xlfn.IFS(E198="H",AW198*AI198-AV198,E198="D",AX198*AJ198-AV198,E198="A",AY198*AK198-AV198)</f>
        <v>4887.0645276508294</v>
      </c>
      <c r="BA198">
        <f t="shared" si="19"/>
        <v>238294.52603653984</v>
      </c>
    </row>
    <row r="199" spans="1:53" x14ac:dyDescent="0.2">
      <c r="A199">
        <v>14</v>
      </c>
      <c r="B199" t="s">
        <v>130</v>
      </c>
      <c r="C199" s="1">
        <v>44187</v>
      </c>
      <c r="D199" t="s">
        <v>190</v>
      </c>
      <c r="E199" t="s">
        <v>49</v>
      </c>
      <c r="F199" t="s">
        <v>376</v>
      </c>
      <c r="G199" t="s">
        <v>187</v>
      </c>
      <c r="H199" t="s">
        <v>256</v>
      </c>
      <c r="I199" t="s">
        <v>392</v>
      </c>
      <c r="J199" t="s">
        <v>393</v>
      </c>
      <c r="K199" t="s">
        <v>54</v>
      </c>
      <c r="L199">
        <v>2020</v>
      </c>
      <c r="M199">
        <v>0.75</v>
      </c>
      <c r="N199">
        <v>1.25</v>
      </c>
      <c r="O199">
        <v>1.25</v>
      </c>
      <c r="P199">
        <v>1.5</v>
      </c>
      <c r="Q199">
        <v>2.62</v>
      </c>
      <c r="R199">
        <v>3.4</v>
      </c>
      <c r="S199">
        <v>2.62</v>
      </c>
      <c r="T199">
        <v>2.7</v>
      </c>
      <c r="U199">
        <v>3.4</v>
      </c>
      <c r="V199">
        <v>2.6</v>
      </c>
      <c r="W199">
        <v>2.7</v>
      </c>
      <c r="X199">
        <v>3.25</v>
      </c>
      <c r="Y199">
        <v>2.65</v>
      </c>
      <c r="Z199">
        <v>2.75</v>
      </c>
      <c r="AA199">
        <v>3.4</v>
      </c>
      <c r="AB199">
        <v>2.74</v>
      </c>
      <c r="AC199">
        <v>2.8</v>
      </c>
      <c r="AD199">
        <v>3.2</v>
      </c>
      <c r="AE199">
        <v>2.6</v>
      </c>
      <c r="AF199">
        <v>2.75</v>
      </c>
      <c r="AG199">
        <v>3.13</v>
      </c>
      <c r="AH199">
        <v>2.7</v>
      </c>
      <c r="AI199">
        <v>2.92</v>
      </c>
      <c r="AJ199">
        <v>3.44</v>
      </c>
      <c r="AK199">
        <v>2.77</v>
      </c>
      <c r="AL199">
        <v>2.73</v>
      </c>
      <c r="AM199">
        <v>3.3</v>
      </c>
      <c r="AN199">
        <v>2.65</v>
      </c>
      <c r="AO199">
        <v>1</v>
      </c>
      <c r="AP199">
        <v>0.34447256163690199</v>
      </c>
      <c r="AQ199">
        <v>0.29240112790109102</v>
      </c>
      <c r="AR199">
        <v>0.363126310462005</v>
      </c>
      <c r="AS199">
        <v>1</v>
      </c>
      <c r="AT199">
        <v>5.8598799797557801E-3</v>
      </c>
      <c r="AU199">
        <v>1.2688132446881399</v>
      </c>
      <c r="AV199">
        <f t="shared" si="15"/>
        <v>3279849.1596930483</v>
      </c>
      <c r="AW199">
        <f t="shared" si="16"/>
        <v>1129818.041822107</v>
      </c>
      <c r="AX199">
        <f t="shared" si="17"/>
        <v>959031.59363969532</v>
      </c>
      <c r="AY199">
        <f t="shared" si="18"/>
        <v>1190999.5242312462</v>
      </c>
      <c r="AZ199" cm="1">
        <f t="array" ref="AZ199">_xlfn.IFS(E199="H",AW199*AI199-AV199,E199="D",AX199*AJ199-AV199,E199="A",AY199*AK199-AV199)</f>
        <v>19219.522427503951</v>
      </c>
      <c r="BA199">
        <f t="shared" si="19"/>
        <v>257514.04846404379</v>
      </c>
    </row>
    <row r="200" spans="1:53" x14ac:dyDescent="0.2">
      <c r="A200">
        <v>15</v>
      </c>
      <c r="B200" t="s">
        <v>130</v>
      </c>
      <c r="C200" s="1">
        <v>44187</v>
      </c>
      <c r="D200" t="s">
        <v>56</v>
      </c>
      <c r="E200" t="s">
        <v>74</v>
      </c>
      <c r="F200" t="s">
        <v>353</v>
      </c>
      <c r="G200" t="s">
        <v>161</v>
      </c>
      <c r="H200" t="s">
        <v>256</v>
      </c>
      <c r="I200" t="s">
        <v>394</v>
      </c>
      <c r="J200" t="s">
        <v>116</v>
      </c>
      <c r="K200" t="s">
        <v>54</v>
      </c>
      <c r="L200">
        <v>2020</v>
      </c>
      <c r="M200">
        <v>1.25</v>
      </c>
      <c r="N200">
        <v>2</v>
      </c>
      <c r="O200">
        <v>1.5</v>
      </c>
      <c r="P200">
        <v>0.75</v>
      </c>
      <c r="Q200">
        <v>3.75</v>
      </c>
      <c r="R200">
        <v>3.4</v>
      </c>
      <c r="S200">
        <v>2</v>
      </c>
      <c r="T200">
        <v>3.6</v>
      </c>
      <c r="U200">
        <v>3.5</v>
      </c>
      <c r="V200">
        <v>2.0499999999999998</v>
      </c>
      <c r="W200">
        <v>3.7</v>
      </c>
      <c r="X200">
        <v>3.3</v>
      </c>
      <c r="Y200">
        <v>2.0499999999999998</v>
      </c>
      <c r="Z200">
        <v>3.91</v>
      </c>
      <c r="AA200">
        <v>3.44</v>
      </c>
      <c r="AB200">
        <v>2.1</v>
      </c>
      <c r="AC200">
        <v>3.7</v>
      </c>
      <c r="AD200">
        <v>3.3</v>
      </c>
      <c r="AE200">
        <v>2.1</v>
      </c>
      <c r="AF200">
        <v>3.7</v>
      </c>
      <c r="AG200">
        <v>3.4</v>
      </c>
      <c r="AH200">
        <v>2.0499999999999998</v>
      </c>
      <c r="AI200">
        <v>3.91</v>
      </c>
      <c r="AJ200">
        <v>3.58</v>
      </c>
      <c r="AK200">
        <v>2.2000000000000002</v>
      </c>
      <c r="AL200">
        <v>3.73</v>
      </c>
      <c r="AM200">
        <v>3.37</v>
      </c>
      <c r="AN200">
        <v>2.08</v>
      </c>
      <c r="AO200">
        <v>1</v>
      </c>
      <c r="AP200">
        <v>0.25843456119281499</v>
      </c>
      <c r="AQ200">
        <v>0.28225674141449902</v>
      </c>
      <c r="AR200">
        <v>0.45930869739268498</v>
      </c>
      <c r="AS200">
        <v>1</v>
      </c>
      <c r="AT200">
        <v>1.04791342639076E-2</v>
      </c>
      <c r="AU200">
        <v>1.2792923789520401</v>
      </c>
      <c r="AV200">
        <f t="shared" si="15"/>
        <v>3537363.2081570923</v>
      </c>
      <c r="AW200">
        <f t="shared" si="16"/>
        <v>914176.90847968741</v>
      </c>
      <c r="AX200">
        <f t="shared" si="17"/>
        <v>998444.61233396037</v>
      </c>
      <c r="AY200">
        <f t="shared" si="18"/>
        <v>1624741.6873434444</v>
      </c>
      <c r="AZ200" cm="1">
        <f t="array" ref="AZ200">_xlfn.IFS(E200="H",AW200*AI200-AV200,E200="D",AX200*AJ200-AV200,E200="A",AY200*AK200-AV200)</f>
        <v>37068.503998485859</v>
      </c>
      <c r="BA200">
        <f t="shared" si="19"/>
        <v>294582.55246252962</v>
      </c>
    </row>
    <row r="201" spans="1:53" x14ac:dyDescent="0.2">
      <c r="A201">
        <v>15</v>
      </c>
      <c r="B201" t="s">
        <v>202</v>
      </c>
      <c r="C201" s="1">
        <v>44188</v>
      </c>
      <c r="D201" t="s">
        <v>259</v>
      </c>
      <c r="E201" t="s">
        <v>49</v>
      </c>
      <c r="F201" t="s">
        <v>286</v>
      </c>
      <c r="G201" t="s">
        <v>113</v>
      </c>
      <c r="H201" t="s">
        <v>256</v>
      </c>
      <c r="I201" t="s">
        <v>288</v>
      </c>
      <c r="J201" t="s">
        <v>265</v>
      </c>
      <c r="K201" t="s">
        <v>54</v>
      </c>
      <c r="L201">
        <v>2020</v>
      </c>
      <c r="M201">
        <v>0.75</v>
      </c>
      <c r="N201">
        <v>0.75</v>
      </c>
      <c r="O201">
        <v>2</v>
      </c>
      <c r="P201">
        <v>1.25</v>
      </c>
      <c r="Q201">
        <v>2.75</v>
      </c>
      <c r="R201">
        <v>2.87</v>
      </c>
      <c r="S201">
        <v>2.9</v>
      </c>
      <c r="T201">
        <v>2.8</v>
      </c>
      <c r="U201">
        <v>2.85</v>
      </c>
      <c r="V201">
        <v>2.9</v>
      </c>
      <c r="W201">
        <v>2.75</v>
      </c>
      <c r="X201">
        <v>2.75</v>
      </c>
      <c r="Y201">
        <v>2.9</v>
      </c>
      <c r="Z201">
        <v>2.82</v>
      </c>
      <c r="AA201">
        <v>3.01</v>
      </c>
      <c r="AB201">
        <v>2.98</v>
      </c>
      <c r="AC201">
        <v>2.75</v>
      </c>
      <c r="AD201">
        <v>3</v>
      </c>
      <c r="AE201">
        <v>2.8</v>
      </c>
      <c r="AF201">
        <v>2.75</v>
      </c>
      <c r="AG201">
        <v>2.9</v>
      </c>
      <c r="AH201">
        <v>2.9</v>
      </c>
      <c r="AI201">
        <v>2.85</v>
      </c>
      <c r="AJ201">
        <v>3.15</v>
      </c>
      <c r="AK201">
        <v>3.02</v>
      </c>
      <c r="AL201">
        <v>2.76</v>
      </c>
      <c r="AM201">
        <v>2.93</v>
      </c>
      <c r="AN201">
        <v>2.9</v>
      </c>
      <c r="AO201">
        <v>1</v>
      </c>
      <c r="AP201">
        <v>0.35106559645723701</v>
      </c>
      <c r="AQ201">
        <v>0.31763077774702397</v>
      </c>
      <c r="AR201">
        <v>0.33130362579573702</v>
      </c>
      <c r="AS201">
        <v>1</v>
      </c>
      <c r="AT201" s="2">
        <v>5.3694990312758096E-4</v>
      </c>
      <c r="AU201">
        <v>1.2798293288551701</v>
      </c>
      <c r="AV201">
        <f t="shared" si="15"/>
        <v>3831945.7606196217</v>
      </c>
      <c r="AW201">
        <f t="shared" si="16"/>
        <v>1345264.3240437109</v>
      </c>
      <c r="AX201">
        <f t="shared" si="17"/>
        <v>1217143.9122300243</v>
      </c>
      <c r="AY201">
        <f t="shared" si="18"/>
        <v>1269537.5243458864</v>
      </c>
      <c r="AZ201" cm="1">
        <f t="array" ref="AZ201">_xlfn.IFS(E201="H",AW201*AI201-AV201,E201="D",AX201*AJ201-AV201,E201="A",AY201*AK201-AV201)</f>
        <v>2057.5629049544223</v>
      </c>
      <c r="BA201">
        <f t="shared" si="19"/>
        <v>296640.11536748405</v>
      </c>
    </row>
    <row r="202" spans="1:53" x14ac:dyDescent="0.2">
      <c r="A202">
        <v>15</v>
      </c>
      <c r="B202" t="s">
        <v>55</v>
      </c>
      <c r="C202" s="1">
        <v>44191</v>
      </c>
      <c r="D202" t="s">
        <v>151</v>
      </c>
      <c r="E202" t="s">
        <v>49</v>
      </c>
      <c r="F202" t="s">
        <v>101</v>
      </c>
      <c r="G202" t="s">
        <v>248</v>
      </c>
      <c r="H202" t="s">
        <v>256</v>
      </c>
      <c r="I202" t="s">
        <v>290</v>
      </c>
      <c r="J202" t="s">
        <v>155</v>
      </c>
      <c r="K202" t="s">
        <v>54</v>
      </c>
      <c r="L202">
        <v>2020</v>
      </c>
      <c r="M202">
        <v>2</v>
      </c>
      <c r="N202">
        <v>2.25</v>
      </c>
      <c r="O202">
        <v>1</v>
      </c>
      <c r="P202">
        <v>1.25</v>
      </c>
      <c r="Q202">
        <v>1.1100000000000001</v>
      </c>
      <c r="R202">
        <v>10</v>
      </c>
      <c r="S202">
        <v>19</v>
      </c>
      <c r="T202">
        <v>1.1200000000000001</v>
      </c>
      <c r="U202">
        <v>9</v>
      </c>
      <c r="V202">
        <v>23</v>
      </c>
      <c r="W202">
        <v>1.1200000000000001</v>
      </c>
      <c r="X202">
        <v>8.75</v>
      </c>
      <c r="Y202">
        <v>20</v>
      </c>
      <c r="Z202">
        <v>1.1399999999999999</v>
      </c>
      <c r="AA202">
        <v>9.5500000000000007</v>
      </c>
      <c r="AB202">
        <v>22.92</v>
      </c>
      <c r="AC202">
        <v>1.1100000000000001</v>
      </c>
      <c r="AD202">
        <v>9</v>
      </c>
      <c r="AE202">
        <v>23</v>
      </c>
      <c r="AF202">
        <v>1.1000000000000001</v>
      </c>
      <c r="AG202">
        <v>10</v>
      </c>
      <c r="AH202">
        <v>23</v>
      </c>
      <c r="AI202">
        <v>1.1499999999999999</v>
      </c>
      <c r="AJ202">
        <v>10.25</v>
      </c>
      <c r="AK202">
        <v>32</v>
      </c>
      <c r="AL202">
        <v>1.1200000000000001</v>
      </c>
      <c r="AM202">
        <v>9.31</v>
      </c>
      <c r="AN202">
        <v>23.28</v>
      </c>
      <c r="AO202">
        <v>1</v>
      </c>
      <c r="AP202">
        <v>0.87097952003186496</v>
      </c>
      <c r="AQ202">
        <v>9.77196534669897E-2</v>
      </c>
      <c r="AR202">
        <v>3.1300826501145101E-2</v>
      </c>
      <c r="AS202">
        <v>1</v>
      </c>
      <c r="AT202">
        <v>1.6264480366448E-3</v>
      </c>
      <c r="AU202">
        <v>1.28145577689182</v>
      </c>
      <c r="AV202">
        <f t="shared" ref="AV202:AV265" si="20">AV201+BA201</f>
        <v>4128585.875987106</v>
      </c>
      <c r="AW202">
        <f t="shared" ref="AW202:AW265" si="21">AV202/(1+AI202/AJ202+AI202/AK202)</f>
        <v>3595913.7446775869</v>
      </c>
      <c r="AX202">
        <f t="shared" ref="AX202:AX265" si="22">AV202/(1+AJ202/AI202+AJ202/AK202)</f>
        <v>403443.98111016821</v>
      </c>
      <c r="AY202">
        <f t="shared" ref="AY202:AY265" si="23">AV202/(1+AK202/AI202+AK202/AJ202)</f>
        <v>129228.15019935077</v>
      </c>
      <c r="AZ202" cm="1">
        <f t="array" ref="AZ202">_xlfn.IFS(E202="H",AW202*AI202-AV202,E202="D",AX202*AJ202-AV202,E202="A",AY202*AK202-AV202)</f>
        <v>6714.9303921186365</v>
      </c>
      <c r="BA202">
        <f t="shared" ref="BA202:BA265" si="24">AZ202+BA201</f>
        <v>303355.04575960268</v>
      </c>
    </row>
    <row r="203" spans="1:53" x14ac:dyDescent="0.2">
      <c r="A203">
        <v>15</v>
      </c>
      <c r="B203" t="s">
        <v>67</v>
      </c>
      <c r="C203" s="1">
        <v>44192</v>
      </c>
      <c r="D203" t="s">
        <v>156</v>
      </c>
      <c r="E203" t="s">
        <v>49</v>
      </c>
      <c r="F203" t="s">
        <v>346</v>
      </c>
      <c r="G203" t="s">
        <v>249</v>
      </c>
      <c r="H203" t="s">
        <v>256</v>
      </c>
      <c r="I203" t="s">
        <v>347</v>
      </c>
      <c r="J203" t="s">
        <v>395</v>
      </c>
      <c r="K203" t="s">
        <v>54</v>
      </c>
      <c r="L203">
        <v>2020</v>
      </c>
      <c r="M203">
        <v>1</v>
      </c>
      <c r="N203">
        <v>1.75</v>
      </c>
      <c r="O203">
        <v>1.25</v>
      </c>
      <c r="P203">
        <v>0.25</v>
      </c>
      <c r="Q203">
        <v>1.72</v>
      </c>
      <c r="R203">
        <v>4</v>
      </c>
      <c r="S203">
        <v>4.33</v>
      </c>
      <c r="T203">
        <v>1.72</v>
      </c>
      <c r="U203">
        <v>4</v>
      </c>
      <c r="V203">
        <v>4.5</v>
      </c>
      <c r="W203">
        <v>1.75</v>
      </c>
      <c r="X203">
        <v>3.75</v>
      </c>
      <c r="Y203">
        <v>4.4000000000000004</v>
      </c>
      <c r="Z203">
        <v>1.76</v>
      </c>
      <c r="AA203">
        <v>4.09</v>
      </c>
      <c r="AB203">
        <v>4.71</v>
      </c>
      <c r="AC203">
        <v>1.73</v>
      </c>
      <c r="AD203">
        <v>4</v>
      </c>
      <c r="AE203">
        <v>4.5</v>
      </c>
      <c r="AF203">
        <v>1.73</v>
      </c>
      <c r="AG203">
        <v>4</v>
      </c>
      <c r="AH203">
        <v>4.5999999999999996</v>
      </c>
      <c r="AI203">
        <v>1.82</v>
      </c>
      <c r="AJ203">
        <v>4.28</v>
      </c>
      <c r="AK203">
        <v>4.8499999999999996</v>
      </c>
      <c r="AL203">
        <v>1.75</v>
      </c>
      <c r="AM203">
        <v>3.98</v>
      </c>
      <c r="AN203">
        <v>4.5</v>
      </c>
      <c r="AO203">
        <v>1</v>
      </c>
      <c r="AP203">
        <v>0.55540393743344396</v>
      </c>
      <c r="AQ203">
        <v>0.23617644068431501</v>
      </c>
      <c r="AR203">
        <v>0.20841962188224</v>
      </c>
      <c r="AS203">
        <v>1</v>
      </c>
      <c r="AT203">
        <v>1.08351661288681E-2</v>
      </c>
      <c r="AU203">
        <v>1.2922909430206799</v>
      </c>
      <c r="AV203">
        <f t="shared" si="20"/>
        <v>4431940.9217467085</v>
      </c>
      <c r="AW203">
        <f t="shared" si="21"/>
        <v>2461517.4384105294</v>
      </c>
      <c r="AX203">
        <f t="shared" si="22"/>
        <v>1046720.0322212999</v>
      </c>
      <c r="AY203">
        <f t="shared" si="23"/>
        <v>923703.45111487911</v>
      </c>
      <c r="AZ203" cm="1">
        <f t="array" ref="AZ203">_xlfn.IFS(E203="H",AW203*AI203-AV203,E203="D",AX203*AJ203-AV203,E203="A",AY203*AK203-AV203)</f>
        <v>48020.816160455346</v>
      </c>
      <c r="BA203">
        <f t="shared" si="24"/>
        <v>351375.86192005803</v>
      </c>
    </row>
    <row r="204" spans="1:53" x14ac:dyDescent="0.2">
      <c r="A204">
        <v>16</v>
      </c>
      <c r="B204" t="s">
        <v>130</v>
      </c>
      <c r="C204" s="1">
        <v>44194</v>
      </c>
      <c r="D204" t="s">
        <v>342</v>
      </c>
      <c r="E204" t="s">
        <v>49</v>
      </c>
      <c r="F204" t="s">
        <v>308</v>
      </c>
      <c r="G204" t="s">
        <v>236</v>
      </c>
      <c r="H204" t="s">
        <v>256</v>
      </c>
      <c r="I204" t="s">
        <v>309</v>
      </c>
      <c r="J204" t="s">
        <v>272</v>
      </c>
      <c r="K204" t="s">
        <v>54</v>
      </c>
      <c r="L204">
        <v>2020</v>
      </c>
      <c r="M204">
        <v>2</v>
      </c>
      <c r="N204">
        <v>1.75</v>
      </c>
      <c r="O204">
        <v>0.75</v>
      </c>
      <c r="P204">
        <v>1</v>
      </c>
      <c r="Q204">
        <v>2.4</v>
      </c>
      <c r="R204">
        <v>3.4</v>
      </c>
      <c r="S204">
        <v>2.9</v>
      </c>
      <c r="T204">
        <v>2.4</v>
      </c>
      <c r="U204">
        <v>3.3</v>
      </c>
      <c r="V204">
        <v>3</v>
      </c>
      <c r="W204">
        <v>2.4500000000000002</v>
      </c>
      <c r="X204">
        <v>3.3</v>
      </c>
      <c r="Y204">
        <v>2.9</v>
      </c>
      <c r="Z204">
        <v>2.52</v>
      </c>
      <c r="AA204">
        <v>3.51</v>
      </c>
      <c r="AB204">
        <v>2.94</v>
      </c>
      <c r="AC204">
        <v>2.4500000000000002</v>
      </c>
      <c r="AD204">
        <v>3.3</v>
      </c>
      <c r="AE204">
        <v>3</v>
      </c>
      <c r="AF204">
        <v>2.4500000000000002</v>
      </c>
      <c r="AG204">
        <v>3.5</v>
      </c>
      <c r="AH204">
        <v>2.8</v>
      </c>
      <c r="AI204">
        <v>2.5299999999999998</v>
      </c>
      <c r="AJ204">
        <v>3.6</v>
      </c>
      <c r="AK204">
        <v>3.09</v>
      </c>
      <c r="AL204">
        <v>2.4300000000000002</v>
      </c>
      <c r="AM204">
        <v>3.42</v>
      </c>
      <c r="AN204">
        <v>2.93</v>
      </c>
      <c r="AO204">
        <v>1</v>
      </c>
      <c r="AP204">
        <v>0.39658178162333202</v>
      </c>
      <c r="AQ204">
        <v>0.27870886319639698</v>
      </c>
      <c r="AR204">
        <v>0.324709355180269</v>
      </c>
      <c r="AS204">
        <v>1</v>
      </c>
      <c r="AT204">
        <v>3.3519075070320699E-3</v>
      </c>
      <c r="AU204">
        <v>1.29564285052772</v>
      </c>
      <c r="AV204">
        <f t="shared" si="20"/>
        <v>4783316.7836667662</v>
      </c>
      <c r="AW204">
        <f t="shared" si="21"/>
        <v>1896976.2921353565</v>
      </c>
      <c r="AX204">
        <f t="shared" si="22"/>
        <v>1333152.7830840144</v>
      </c>
      <c r="AY204">
        <f t="shared" si="23"/>
        <v>1553187.7084473954</v>
      </c>
      <c r="AZ204" cm="1">
        <f t="array" ref="AZ204">_xlfn.IFS(E204="H",AW204*AI204-AV204,E204="D",AX204*AJ204-AV204,E204="A",AY204*AK204-AV204)</f>
        <v>16033.235435685143</v>
      </c>
      <c r="BA204">
        <f t="shared" si="24"/>
        <v>367409.09735574317</v>
      </c>
    </row>
    <row r="205" spans="1:53" x14ac:dyDescent="0.2">
      <c r="A205">
        <v>16</v>
      </c>
      <c r="B205" t="s">
        <v>229</v>
      </c>
      <c r="C205" s="1">
        <v>44196</v>
      </c>
      <c r="D205" t="s">
        <v>396</v>
      </c>
      <c r="E205" t="s">
        <v>74</v>
      </c>
      <c r="F205" t="s">
        <v>311</v>
      </c>
      <c r="G205" t="s">
        <v>158</v>
      </c>
      <c r="H205" t="s">
        <v>256</v>
      </c>
      <c r="I205" t="s">
        <v>397</v>
      </c>
      <c r="J205" t="s">
        <v>164</v>
      </c>
      <c r="K205" t="s">
        <v>54</v>
      </c>
      <c r="L205">
        <v>2020</v>
      </c>
      <c r="M205">
        <v>2.25</v>
      </c>
      <c r="N205">
        <v>2</v>
      </c>
      <c r="O205">
        <v>1</v>
      </c>
      <c r="P205">
        <v>0.75</v>
      </c>
      <c r="Q205">
        <v>3</v>
      </c>
      <c r="R205">
        <v>3.2</v>
      </c>
      <c r="S205">
        <v>2.5</v>
      </c>
      <c r="T205">
        <v>2.9</v>
      </c>
      <c r="U205">
        <v>3.1</v>
      </c>
      <c r="V205">
        <v>2.5</v>
      </c>
      <c r="W205">
        <v>2.95</v>
      </c>
      <c r="X205">
        <v>2.9</v>
      </c>
      <c r="Y205">
        <v>2.5499999999999998</v>
      </c>
      <c r="Z205">
        <v>3.06</v>
      </c>
      <c r="AA205">
        <v>3.22</v>
      </c>
      <c r="AB205">
        <v>2.6</v>
      </c>
      <c r="AC205">
        <v>3</v>
      </c>
      <c r="AD205">
        <v>3.1</v>
      </c>
      <c r="AE205">
        <v>2.5499999999999998</v>
      </c>
      <c r="AF205">
        <v>2.88</v>
      </c>
      <c r="AG205">
        <v>3.1</v>
      </c>
      <c r="AH205">
        <v>2.5</v>
      </c>
      <c r="AI205">
        <v>3.15</v>
      </c>
      <c r="AJ205">
        <v>3.32</v>
      </c>
      <c r="AK205">
        <v>2.64</v>
      </c>
      <c r="AL205">
        <v>2.97</v>
      </c>
      <c r="AM205">
        <v>3.13</v>
      </c>
      <c r="AN205">
        <v>2.5499999999999998</v>
      </c>
      <c r="AO205">
        <v>1</v>
      </c>
      <c r="AP205">
        <v>0.31827094862521199</v>
      </c>
      <c r="AQ205">
        <v>0.30197394221970397</v>
      </c>
      <c r="AR205">
        <v>0.37975510915508298</v>
      </c>
      <c r="AS205">
        <v>1</v>
      </c>
      <c r="AT205">
        <v>2.5534881694191298E-3</v>
      </c>
      <c r="AU205">
        <v>1.29819633869714</v>
      </c>
      <c r="AV205">
        <f t="shared" si="20"/>
        <v>5150725.8810225092</v>
      </c>
      <c r="AW205">
        <f t="shared" si="21"/>
        <v>1639326.412261467</v>
      </c>
      <c r="AX205">
        <f t="shared" si="22"/>
        <v>1555384.9995854283</v>
      </c>
      <c r="AY205">
        <f t="shared" si="23"/>
        <v>1956014.469175614</v>
      </c>
      <c r="AZ205" cm="1">
        <f t="array" ref="AZ205">_xlfn.IFS(E205="H",AW205*AI205-AV205,E205="D",AX205*AJ205-AV205,E205="A",AY205*AK205-AV205)</f>
        <v>13152.317601111718</v>
      </c>
      <c r="BA205">
        <f t="shared" si="24"/>
        <v>380561.41495685489</v>
      </c>
    </row>
    <row r="206" spans="1:53" x14ac:dyDescent="0.2">
      <c r="A206">
        <v>17</v>
      </c>
      <c r="B206" t="s">
        <v>67</v>
      </c>
      <c r="C206" s="1">
        <v>44206</v>
      </c>
      <c r="D206" t="s">
        <v>121</v>
      </c>
      <c r="E206" t="s">
        <v>57</v>
      </c>
      <c r="F206" t="s">
        <v>108</v>
      </c>
      <c r="G206" t="s">
        <v>318</v>
      </c>
      <c r="H206" t="s">
        <v>256</v>
      </c>
      <c r="I206" t="s">
        <v>110</v>
      </c>
      <c r="J206" t="s">
        <v>398</v>
      </c>
      <c r="K206" t="s">
        <v>54</v>
      </c>
      <c r="L206">
        <v>2021</v>
      </c>
      <c r="M206">
        <v>3</v>
      </c>
      <c r="N206">
        <v>1</v>
      </c>
      <c r="O206">
        <v>0</v>
      </c>
      <c r="P206">
        <v>1</v>
      </c>
      <c r="Q206">
        <v>2.87</v>
      </c>
      <c r="R206">
        <v>3.6</v>
      </c>
      <c r="S206">
        <v>2.37</v>
      </c>
      <c r="T206">
        <v>2.95</v>
      </c>
      <c r="U206">
        <v>3.5</v>
      </c>
      <c r="V206">
        <v>2.35</v>
      </c>
      <c r="W206">
        <v>2.9</v>
      </c>
      <c r="X206">
        <v>3.45</v>
      </c>
      <c r="Y206">
        <v>2.4</v>
      </c>
      <c r="Z206">
        <v>3.06</v>
      </c>
      <c r="AA206">
        <v>3.56</v>
      </c>
      <c r="AB206">
        <v>2.41</v>
      </c>
      <c r="AC206">
        <v>2.9</v>
      </c>
      <c r="AD206">
        <v>3.6</v>
      </c>
      <c r="AE206">
        <v>2.35</v>
      </c>
      <c r="AF206">
        <v>2.9</v>
      </c>
      <c r="AG206">
        <v>3.5</v>
      </c>
      <c r="AH206">
        <v>2.2999999999999998</v>
      </c>
      <c r="AI206">
        <v>3.12</v>
      </c>
      <c r="AJ206">
        <v>3.86</v>
      </c>
      <c r="AK206">
        <v>2.5099999999999998</v>
      </c>
      <c r="AL206">
        <v>2.94</v>
      </c>
      <c r="AM206">
        <v>3.53</v>
      </c>
      <c r="AN206">
        <v>2.37</v>
      </c>
      <c r="AO206">
        <v>1</v>
      </c>
      <c r="AP206">
        <v>0.32772722660081799</v>
      </c>
      <c r="AQ206">
        <v>0.26489869093123097</v>
      </c>
      <c r="AR206">
        <v>0.40737408246794898</v>
      </c>
      <c r="AS206">
        <v>0.999999999999999</v>
      </c>
      <c r="AT206">
        <v>2.2508946994553799E-2</v>
      </c>
      <c r="AU206">
        <v>1.3207052856916901</v>
      </c>
      <c r="AV206">
        <f t="shared" si="20"/>
        <v>5531287.2959793638</v>
      </c>
      <c r="AW206">
        <f t="shared" si="21"/>
        <v>1812753.4450436579</v>
      </c>
      <c r="AX206">
        <f t="shared" si="22"/>
        <v>1465230.7638694851</v>
      </c>
      <c r="AY206">
        <f t="shared" si="23"/>
        <v>2253303.0870662206</v>
      </c>
      <c r="AZ206" cm="1">
        <f t="array" ref="AZ206">_xlfn.IFS(E206="H",AW206*AI206-AV206,E206="D",AX206*AJ206-AV206,E206="A",AY206*AK206-AV206)</f>
        <v>124503.45255684853</v>
      </c>
      <c r="BA206">
        <f t="shared" si="24"/>
        <v>505064.86751370342</v>
      </c>
    </row>
    <row r="207" spans="1:53" x14ac:dyDescent="0.2">
      <c r="A207">
        <v>16</v>
      </c>
      <c r="B207" t="s">
        <v>67</v>
      </c>
      <c r="C207" s="1">
        <v>44213</v>
      </c>
      <c r="D207" t="s">
        <v>107</v>
      </c>
      <c r="E207" t="s">
        <v>49</v>
      </c>
      <c r="F207" t="s">
        <v>200</v>
      </c>
      <c r="G207" t="s">
        <v>360</v>
      </c>
      <c r="H207" t="s">
        <v>256</v>
      </c>
      <c r="I207" t="s">
        <v>380</v>
      </c>
      <c r="J207" t="s">
        <v>201</v>
      </c>
      <c r="K207" t="s">
        <v>54</v>
      </c>
      <c r="L207">
        <v>2021</v>
      </c>
      <c r="M207">
        <v>3</v>
      </c>
      <c r="N207">
        <v>2</v>
      </c>
      <c r="O207">
        <v>0</v>
      </c>
      <c r="P207">
        <v>0</v>
      </c>
      <c r="Q207">
        <v>1.5</v>
      </c>
      <c r="R207">
        <v>4.33</v>
      </c>
      <c r="S207">
        <v>6.5</v>
      </c>
      <c r="T207">
        <v>1.53</v>
      </c>
      <c r="U207">
        <v>4.4000000000000004</v>
      </c>
      <c r="V207">
        <v>6</v>
      </c>
      <c r="W207">
        <v>1.53</v>
      </c>
      <c r="X207">
        <v>4.55</v>
      </c>
      <c r="Y207">
        <v>5.6</v>
      </c>
      <c r="Z207">
        <v>1.53</v>
      </c>
      <c r="AA207">
        <v>4.49</v>
      </c>
      <c r="AB207">
        <v>6.65</v>
      </c>
      <c r="AC207">
        <v>1.5</v>
      </c>
      <c r="AD207">
        <v>4.4000000000000004</v>
      </c>
      <c r="AE207">
        <v>6</v>
      </c>
      <c r="AF207">
        <v>1.5</v>
      </c>
      <c r="AG207">
        <v>4.5</v>
      </c>
      <c r="AH207">
        <v>5.75</v>
      </c>
      <c r="AI207">
        <v>1.55</v>
      </c>
      <c r="AJ207">
        <v>4.84</v>
      </c>
      <c r="AK207">
        <v>6.8</v>
      </c>
      <c r="AL207">
        <v>1.52</v>
      </c>
      <c r="AM207">
        <v>4.47</v>
      </c>
      <c r="AN207">
        <v>6.1</v>
      </c>
      <c r="AO207">
        <v>1</v>
      </c>
      <c r="AP207">
        <v>0.64591592416689503</v>
      </c>
      <c r="AQ207">
        <v>0.20685324017741399</v>
      </c>
      <c r="AR207">
        <v>0.14723083565568901</v>
      </c>
      <c r="AS207">
        <v>1</v>
      </c>
      <c r="AT207">
        <v>1.1696824586882001E-3</v>
      </c>
      <c r="AU207">
        <v>1.3218749681503801</v>
      </c>
      <c r="AV207">
        <f t="shared" si="20"/>
        <v>6036352.163493067</v>
      </c>
      <c r="AW207">
        <f t="shared" si="21"/>
        <v>3898975.9862794639</v>
      </c>
      <c r="AX207">
        <f t="shared" si="22"/>
        <v>1248639.0038704895</v>
      </c>
      <c r="AY207">
        <f t="shared" si="23"/>
        <v>888737.17334311316</v>
      </c>
      <c r="AZ207" cm="1">
        <f t="array" ref="AZ207">_xlfn.IFS(E207="H",AW207*AI207-AV207,E207="D",AX207*AJ207-AV207,E207="A",AY207*AK207-AV207)</f>
        <v>7060.6152401017025</v>
      </c>
      <c r="BA207">
        <f t="shared" si="24"/>
        <v>512125.48275380512</v>
      </c>
    </row>
    <row r="208" spans="1:53" x14ac:dyDescent="0.2">
      <c r="A208">
        <v>18</v>
      </c>
      <c r="B208" t="s">
        <v>67</v>
      </c>
      <c r="C208" s="1">
        <v>44213</v>
      </c>
      <c r="D208" t="s">
        <v>183</v>
      </c>
      <c r="E208" t="s">
        <v>57</v>
      </c>
      <c r="F208" t="s">
        <v>109</v>
      </c>
      <c r="G208" t="s">
        <v>187</v>
      </c>
      <c r="H208" t="s">
        <v>256</v>
      </c>
      <c r="I208" t="s">
        <v>123</v>
      </c>
      <c r="J208" t="s">
        <v>399</v>
      </c>
      <c r="K208" t="s">
        <v>54</v>
      </c>
      <c r="L208">
        <v>2021</v>
      </c>
      <c r="M208">
        <v>3</v>
      </c>
      <c r="N208">
        <v>2</v>
      </c>
      <c r="O208">
        <v>0</v>
      </c>
      <c r="P208">
        <v>0</v>
      </c>
      <c r="Q208">
        <v>1.66</v>
      </c>
      <c r="R208">
        <v>4.3</v>
      </c>
      <c r="S208">
        <v>4.5</v>
      </c>
      <c r="T208">
        <v>1.72</v>
      </c>
      <c r="U208">
        <v>4</v>
      </c>
      <c r="V208">
        <v>4.5999999999999996</v>
      </c>
      <c r="W208">
        <v>1.67</v>
      </c>
      <c r="X208">
        <v>4.1500000000000004</v>
      </c>
      <c r="Y208">
        <v>4.7</v>
      </c>
      <c r="Z208">
        <v>1.68</v>
      </c>
      <c r="AA208">
        <v>4.37</v>
      </c>
      <c r="AB208">
        <v>5.0199999999999996</v>
      </c>
      <c r="AC208">
        <v>1.67</v>
      </c>
      <c r="AD208">
        <v>4.2</v>
      </c>
      <c r="AE208">
        <v>4.8</v>
      </c>
      <c r="AF208">
        <v>1.65</v>
      </c>
      <c r="AG208">
        <v>3.8</v>
      </c>
      <c r="AH208">
        <v>5</v>
      </c>
      <c r="AI208">
        <v>1.72</v>
      </c>
      <c r="AJ208">
        <v>4.38</v>
      </c>
      <c r="AK208">
        <v>5.27</v>
      </c>
      <c r="AL208">
        <v>1.67</v>
      </c>
      <c r="AM208">
        <v>4.18</v>
      </c>
      <c r="AN208">
        <v>4.75</v>
      </c>
      <c r="AO208">
        <v>1</v>
      </c>
      <c r="AP208">
        <v>0.58170995398254999</v>
      </c>
      <c r="AQ208">
        <v>0.22843404585616101</v>
      </c>
      <c r="AR208">
        <v>0.18985600016128701</v>
      </c>
      <c r="AS208">
        <v>1</v>
      </c>
      <c r="AT208" s="2">
        <v>5.4112084998703103E-4</v>
      </c>
      <c r="AU208">
        <v>1.32241608900036</v>
      </c>
      <c r="AV208">
        <f t="shared" si="20"/>
        <v>6548477.6462468719</v>
      </c>
      <c r="AW208">
        <f t="shared" si="21"/>
        <v>3809314.6302540293</v>
      </c>
      <c r="AX208">
        <f t="shared" si="22"/>
        <v>1495895.242930806</v>
      </c>
      <c r="AY208">
        <f t="shared" si="23"/>
        <v>1243267.7730620364</v>
      </c>
      <c r="AZ208" cm="1">
        <f t="array" ref="AZ208">_xlfn.IFS(E208="H",AW208*AI208-AV208,E208="D",AX208*AJ208-AV208,E208="A",AY208*AK208-AV208)</f>
        <v>3543.5177900586277</v>
      </c>
      <c r="BA208">
        <f t="shared" si="24"/>
        <v>515669.00054386375</v>
      </c>
    </row>
    <row r="209" spans="1:53" x14ac:dyDescent="0.2">
      <c r="A209">
        <v>20</v>
      </c>
      <c r="B209" t="s">
        <v>67</v>
      </c>
      <c r="C209" s="1">
        <v>44213</v>
      </c>
      <c r="D209" t="s">
        <v>183</v>
      </c>
      <c r="E209" t="s">
        <v>49</v>
      </c>
      <c r="F209" t="s">
        <v>83</v>
      </c>
      <c r="G209" t="s">
        <v>217</v>
      </c>
      <c r="H209" t="s">
        <v>256</v>
      </c>
      <c r="I209" t="s">
        <v>84</v>
      </c>
      <c r="J209" t="s">
        <v>72</v>
      </c>
      <c r="K209" t="s">
        <v>54</v>
      </c>
      <c r="L209">
        <v>2021</v>
      </c>
      <c r="M209">
        <v>3</v>
      </c>
      <c r="N209">
        <v>5</v>
      </c>
      <c r="O209">
        <v>0</v>
      </c>
      <c r="P209">
        <v>1</v>
      </c>
      <c r="Q209">
        <v>1.95</v>
      </c>
      <c r="R209">
        <v>3.3</v>
      </c>
      <c r="S209">
        <v>4.2</v>
      </c>
      <c r="T209">
        <v>2</v>
      </c>
      <c r="U209">
        <v>3.4</v>
      </c>
      <c r="V209">
        <v>3.9</v>
      </c>
      <c r="W209">
        <v>1.97</v>
      </c>
      <c r="X209">
        <v>3.45</v>
      </c>
      <c r="Y209">
        <v>3.9</v>
      </c>
      <c r="Z209">
        <v>2.0099999999999998</v>
      </c>
      <c r="AA209">
        <v>3.54</v>
      </c>
      <c r="AB209">
        <v>4.1100000000000003</v>
      </c>
      <c r="AC209">
        <v>2</v>
      </c>
      <c r="AD209">
        <v>3.25</v>
      </c>
      <c r="AE209">
        <v>4</v>
      </c>
      <c r="AF209">
        <v>1.95</v>
      </c>
      <c r="AG209">
        <v>3.3</v>
      </c>
      <c r="AH209">
        <v>3.9</v>
      </c>
      <c r="AI209">
        <v>2.1</v>
      </c>
      <c r="AJ209">
        <v>3.6</v>
      </c>
      <c r="AK209">
        <v>4.34</v>
      </c>
      <c r="AL209">
        <v>2</v>
      </c>
      <c r="AM209">
        <v>3.38</v>
      </c>
      <c r="AN209">
        <v>3.93</v>
      </c>
      <c r="AO209">
        <v>1</v>
      </c>
      <c r="AP209">
        <v>0.48374512353706101</v>
      </c>
      <c r="AQ209">
        <v>0.28218465539661802</v>
      </c>
      <c r="AR209">
        <v>0.234070221066319</v>
      </c>
      <c r="AS209">
        <v>1</v>
      </c>
      <c r="AT209">
        <v>1.5864759427828199E-2</v>
      </c>
      <c r="AU209">
        <v>1.3382808484281901</v>
      </c>
      <c r="AV209">
        <f t="shared" si="20"/>
        <v>7064146.6467907354</v>
      </c>
      <c r="AW209">
        <f t="shared" si="21"/>
        <v>3417246.4923357</v>
      </c>
      <c r="AX209">
        <f t="shared" si="22"/>
        <v>1993393.7871958253</v>
      </c>
      <c r="AY209">
        <f t="shared" si="23"/>
        <v>1653506.36725921</v>
      </c>
      <c r="AZ209" cm="1">
        <f t="array" ref="AZ209">_xlfn.IFS(E209="H",AW209*AI209-AV209,E209="D",AX209*AJ209-AV209,E209="A",AY209*AK209-AV209)</f>
        <v>112070.98711423483</v>
      </c>
      <c r="BA209">
        <f t="shared" si="24"/>
        <v>627739.98765809857</v>
      </c>
    </row>
    <row r="210" spans="1:53" x14ac:dyDescent="0.2">
      <c r="A210">
        <v>19</v>
      </c>
      <c r="B210" t="s">
        <v>229</v>
      </c>
      <c r="C210" s="1">
        <v>44217</v>
      </c>
      <c r="D210" t="s">
        <v>342</v>
      </c>
      <c r="E210" t="s">
        <v>74</v>
      </c>
      <c r="F210" t="s">
        <v>113</v>
      </c>
      <c r="G210" t="s">
        <v>291</v>
      </c>
      <c r="H210" t="s">
        <v>256</v>
      </c>
      <c r="I210" t="s">
        <v>115</v>
      </c>
      <c r="J210" t="s">
        <v>293</v>
      </c>
      <c r="K210" t="s">
        <v>54</v>
      </c>
      <c r="L210">
        <v>2021</v>
      </c>
      <c r="M210">
        <v>3</v>
      </c>
      <c r="N210">
        <v>2</v>
      </c>
      <c r="O210">
        <v>3</v>
      </c>
      <c r="P210">
        <v>2</v>
      </c>
      <c r="Q210">
        <v>6.5</v>
      </c>
      <c r="R210">
        <v>3.4</v>
      </c>
      <c r="S210">
        <v>1.66</v>
      </c>
      <c r="T210">
        <v>6.75</v>
      </c>
      <c r="U210">
        <v>3.3</v>
      </c>
      <c r="V210">
        <v>1.67</v>
      </c>
      <c r="W210">
        <v>5.8</v>
      </c>
      <c r="X210">
        <v>3.4</v>
      </c>
      <c r="Y210">
        <v>1.7</v>
      </c>
      <c r="Z210">
        <v>6.37</v>
      </c>
      <c r="AA210">
        <v>3.48</v>
      </c>
      <c r="AB210">
        <v>1.72</v>
      </c>
      <c r="AC210">
        <v>6</v>
      </c>
      <c r="AD210">
        <v>3.4</v>
      </c>
      <c r="AE210">
        <v>1.7</v>
      </c>
      <c r="AF210">
        <v>5.75</v>
      </c>
      <c r="AG210">
        <v>3.4</v>
      </c>
      <c r="AH210">
        <v>1.67</v>
      </c>
      <c r="AI210">
        <v>6.75</v>
      </c>
      <c r="AJ210">
        <v>3.59</v>
      </c>
      <c r="AK210">
        <v>1.76</v>
      </c>
      <c r="AL210">
        <v>5.99</v>
      </c>
      <c r="AM210">
        <v>3.42</v>
      </c>
      <c r="AN210">
        <v>1.7</v>
      </c>
      <c r="AO210">
        <v>1</v>
      </c>
      <c r="AP210">
        <v>0.148910345997845</v>
      </c>
      <c r="AQ210">
        <v>0.27998463383996097</v>
      </c>
      <c r="AR210">
        <v>0.571105020162193</v>
      </c>
      <c r="AS210">
        <v>1</v>
      </c>
      <c r="AT210">
        <v>5.1448354854599599E-3</v>
      </c>
      <c r="AU210">
        <v>1.34342568391365</v>
      </c>
      <c r="AV210">
        <f t="shared" si="20"/>
        <v>7691886.6344488338</v>
      </c>
      <c r="AW210">
        <f t="shared" si="21"/>
        <v>1145401.5001119825</v>
      </c>
      <c r="AX210">
        <f t="shared" si="22"/>
        <v>2153610.0628846465</v>
      </c>
      <c r="AY210">
        <f t="shared" si="23"/>
        <v>4392875.0714522051</v>
      </c>
      <c r="AZ210" cm="1">
        <f t="array" ref="AZ210">_xlfn.IFS(E210="H",AW210*AI210-AV210,E210="D",AX210*AJ210-AV210,E210="A",AY210*AK210-AV210)</f>
        <v>39573.491307047196</v>
      </c>
      <c r="BA210">
        <f t="shared" si="24"/>
        <v>667313.47896514577</v>
      </c>
    </row>
    <row r="211" spans="1:53" x14ac:dyDescent="0.2">
      <c r="A211">
        <v>18</v>
      </c>
      <c r="B211" t="s">
        <v>229</v>
      </c>
      <c r="C211" s="1">
        <v>44217</v>
      </c>
      <c r="D211" t="s">
        <v>151</v>
      </c>
      <c r="E211" t="s">
        <v>74</v>
      </c>
      <c r="F211" t="s">
        <v>210</v>
      </c>
      <c r="G211" t="s">
        <v>249</v>
      </c>
      <c r="H211" t="s">
        <v>256</v>
      </c>
      <c r="I211" t="s">
        <v>400</v>
      </c>
      <c r="J211" t="s">
        <v>219</v>
      </c>
      <c r="K211" t="s">
        <v>54</v>
      </c>
      <c r="L211">
        <v>2021</v>
      </c>
      <c r="M211">
        <v>1</v>
      </c>
      <c r="N211">
        <v>0</v>
      </c>
      <c r="O211">
        <v>0</v>
      </c>
      <c r="P211">
        <v>0</v>
      </c>
      <c r="Q211">
        <v>1.18</v>
      </c>
      <c r="R211">
        <v>7.5</v>
      </c>
      <c r="S211">
        <v>15</v>
      </c>
      <c r="T211">
        <v>1.17</v>
      </c>
      <c r="U211">
        <v>7.5</v>
      </c>
      <c r="V211">
        <v>15.5</v>
      </c>
      <c r="W211">
        <v>1.21</v>
      </c>
      <c r="X211">
        <v>6.6</v>
      </c>
      <c r="Y211">
        <v>13.5</v>
      </c>
      <c r="Z211">
        <v>1.21</v>
      </c>
      <c r="AA211">
        <v>7.24</v>
      </c>
      <c r="AB211">
        <v>15.81</v>
      </c>
      <c r="AC211">
        <v>1.18</v>
      </c>
      <c r="AD211">
        <v>7</v>
      </c>
      <c r="AE211">
        <v>17</v>
      </c>
      <c r="AF211">
        <v>1.18</v>
      </c>
      <c r="AG211">
        <v>7</v>
      </c>
      <c r="AH211">
        <v>17</v>
      </c>
      <c r="AI211">
        <v>1.23</v>
      </c>
      <c r="AJ211">
        <v>8</v>
      </c>
      <c r="AK211">
        <v>17.75</v>
      </c>
      <c r="AL211">
        <v>1.2</v>
      </c>
      <c r="AM211">
        <v>7.05</v>
      </c>
      <c r="AN211">
        <v>14.89</v>
      </c>
      <c r="AO211">
        <v>1</v>
      </c>
      <c r="AP211">
        <v>0.81763088571880904</v>
      </c>
      <c r="AQ211">
        <v>0.12571074867926699</v>
      </c>
      <c r="AR211">
        <v>5.6658365601923097E-2</v>
      </c>
      <c r="AS211">
        <v>1</v>
      </c>
      <c r="AT211">
        <v>5.6859894341361097E-3</v>
      </c>
      <c r="AU211">
        <v>1.3491116733477899</v>
      </c>
      <c r="AV211">
        <f t="shared" si="20"/>
        <v>8359200.1134139793</v>
      </c>
      <c r="AW211">
        <f t="shared" si="21"/>
        <v>6834740.1926314477</v>
      </c>
      <c r="AX211">
        <f t="shared" si="22"/>
        <v>1050841.304617085</v>
      </c>
      <c r="AY211">
        <f t="shared" si="23"/>
        <v>473618.61616544682</v>
      </c>
      <c r="AZ211" cm="1">
        <f t="array" ref="AZ211">_xlfn.IFS(E211="H",AW211*AI211-AV211,E211="D",AX211*AJ211-AV211,E211="A",AY211*AK211-AV211)</f>
        <v>47530.323522700928</v>
      </c>
      <c r="BA211">
        <f t="shared" si="24"/>
        <v>714843.8024878467</v>
      </c>
    </row>
    <row r="212" spans="1:53" x14ac:dyDescent="0.2">
      <c r="A212">
        <v>19</v>
      </c>
      <c r="B212" t="s">
        <v>55</v>
      </c>
      <c r="C212" s="1">
        <v>44219</v>
      </c>
      <c r="D212" t="s">
        <v>48</v>
      </c>
      <c r="E212" t="s">
        <v>49</v>
      </c>
      <c r="F212" t="s">
        <v>181</v>
      </c>
      <c r="G212" t="s">
        <v>376</v>
      </c>
      <c r="H212" t="s">
        <v>256</v>
      </c>
      <c r="I212" t="s">
        <v>344</v>
      </c>
      <c r="J212" t="s">
        <v>317</v>
      </c>
      <c r="K212" t="s">
        <v>54</v>
      </c>
      <c r="L212">
        <v>2021</v>
      </c>
      <c r="M212">
        <v>2</v>
      </c>
      <c r="N212">
        <v>0.5</v>
      </c>
      <c r="O212">
        <v>0</v>
      </c>
      <c r="P212">
        <v>1.5</v>
      </c>
      <c r="Q212">
        <v>1.61</v>
      </c>
      <c r="R212">
        <v>4</v>
      </c>
      <c r="S212">
        <v>5.25</v>
      </c>
      <c r="T212">
        <v>1.67</v>
      </c>
      <c r="U212">
        <v>3.9</v>
      </c>
      <c r="V212">
        <v>5.25</v>
      </c>
      <c r="W212">
        <v>1.65</v>
      </c>
      <c r="X212">
        <v>3.9</v>
      </c>
      <c r="Y212">
        <v>5.25</v>
      </c>
      <c r="Z212">
        <v>1.67</v>
      </c>
      <c r="AA212">
        <v>4.0199999999999996</v>
      </c>
      <c r="AB212">
        <v>5.62</v>
      </c>
      <c r="AC212">
        <v>1.65</v>
      </c>
      <c r="AD212">
        <v>3.8</v>
      </c>
      <c r="AE212">
        <v>5.5</v>
      </c>
      <c r="AF212">
        <v>1.62</v>
      </c>
      <c r="AG212">
        <v>3.75</v>
      </c>
      <c r="AH212">
        <v>5.75</v>
      </c>
      <c r="AI212">
        <v>1.71</v>
      </c>
      <c r="AJ212">
        <v>4.12</v>
      </c>
      <c r="AK212">
        <v>5.82</v>
      </c>
      <c r="AL212">
        <v>1.66</v>
      </c>
      <c r="AM212">
        <v>3.9</v>
      </c>
      <c r="AN212">
        <v>5.31</v>
      </c>
      <c r="AO212">
        <v>1</v>
      </c>
      <c r="AP212">
        <v>0.58518442592945097</v>
      </c>
      <c r="AQ212">
        <v>0.24287994377168901</v>
      </c>
      <c r="AR212">
        <v>0.171935630298859</v>
      </c>
      <c r="AS212">
        <v>1</v>
      </c>
      <c r="AT212" s="2">
        <v>6.6536833936137098E-4</v>
      </c>
      <c r="AU212">
        <v>1.34977704168715</v>
      </c>
      <c r="AV212">
        <f t="shared" si="20"/>
        <v>9074043.9159018267</v>
      </c>
      <c r="AW212">
        <f t="shared" si="21"/>
        <v>5309989.179785639</v>
      </c>
      <c r="AX212">
        <f t="shared" si="22"/>
        <v>2203903.2760760779</v>
      </c>
      <c r="AY212">
        <f t="shared" si="23"/>
        <v>1560151.4600401099</v>
      </c>
      <c r="AZ212" cm="1">
        <f t="array" ref="AZ212">_xlfn.IFS(E212="H",AW212*AI212-AV212,E212="D",AX212*AJ212-AV212,E212="A",AY212*AK212-AV212)</f>
        <v>6037.5815316159278</v>
      </c>
      <c r="BA212">
        <f t="shared" si="24"/>
        <v>720881.38401946262</v>
      </c>
    </row>
    <row r="213" spans="1:53" x14ac:dyDescent="0.2">
      <c r="A213">
        <v>20</v>
      </c>
      <c r="B213" t="s">
        <v>55</v>
      </c>
      <c r="C213" s="1">
        <v>44219</v>
      </c>
      <c r="D213" t="s">
        <v>378</v>
      </c>
      <c r="E213" t="s">
        <v>49</v>
      </c>
      <c r="F213" t="s">
        <v>161</v>
      </c>
      <c r="G213" t="s">
        <v>382</v>
      </c>
      <c r="H213" t="s">
        <v>256</v>
      </c>
      <c r="I213" t="s">
        <v>163</v>
      </c>
      <c r="J213" t="s">
        <v>401</v>
      </c>
      <c r="K213" t="s">
        <v>54</v>
      </c>
      <c r="L213">
        <v>2021</v>
      </c>
      <c r="M213">
        <v>3</v>
      </c>
      <c r="N213">
        <v>3</v>
      </c>
      <c r="O213">
        <v>1</v>
      </c>
      <c r="P213">
        <v>1</v>
      </c>
      <c r="Q213">
        <v>1.45</v>
      </c>
      <c r="R213">
        <v>4.2</v>
      </c>
      <c r="S213">
        <v>8</v>
      </c>
      <c r="T213">
        <v>1.45</v>
      </c>
      <c r="U213">
        <v>4.0999999999999996</v>
      </c>
      <c r="V213">
        <v>8.25</v>
      </c>
      <c r="W213">
        <v>1.5</v>
      </c>
      <c r="X213">
        <v>4</v>
      </c>
      <c r="Y213">
        <v>7.25</v>
      </c>
      <c r="Z213">
        <v>1.51</v>
      </c>
      <c r="AA213">
        <v>4.08</v>
      </c>
      <c r="AB213">
        <v>8.57</v>
      </c>
      <c r="AC213">
        <v>1.47</v>
      </c>
      <c r="AD213">
        <v>4.2</v>
      </c>
      <c r="AE213">
        <v>8</v>
      </c>
      <c r="AF213">
        <v>1.45</v>
      </c>
      <c r="AG213">
        <v>4</v>
      </c>
      <c r="AH213">
        <v>8</v>
      </c>
      <c r="AI213">
        <v>1.53</v>
      </c>
      <c r="AJ213">
        <v>4.4000000000000004</v>
      </c>
      <c r="AK213">
        <v>8.57</v>
      </c>
      <c r="AL213">
        <v>1.48</v>
      </c>
      <c r="AM213">
        <v>4.08</v>
      </c>
      <c r="AN213">
        <v>7.88</v>
      </c>
      <c r="AO213">
        <v>1</v>
      </c>
      <c r="AP213">
        <v>0.65519763831380595</v>
      </c>
      <c r="AQ213">
        <v>0.22783008786820899</v>
      </c>
      <c r="AR213">
        <v>0.116972273817984</v>
      </c>
      <c r="AS213">
        <v>1</v>
      </c>
      <c r="AT213">
        <v>2.4523866201233702E-3</v>
      </c>
      <c r="AU213">
        <v>1.35222942830727</v>
      </c>
      <c r="AV213">
        <f t="shared" si="20"/>
        <v>9794925.2999212891</v>
      </c>
      <c r="AW213">
        <f t="shared" si="21"/>
        <v>6417611.9239685778</v>
      </c>
      <c r="AX213">
        <f t="shared" si="22"/>
        <v>2231578.6917436188</v>
      </c>
      <c r="AY213">
        <f t="shared" si="23"/>
        <v>1145734.6842090925</v>
      </c>
      <c r="AZ213" cm="1">
        <f t="array" ref="AZ213">_xlfn.IFS(E213="H",AW213*AI213-AV213,E213="D",AX213*AJ213-AV213,E213="A",AY213*AK213-AV213)</f>
        <v>24020.943750634789</v>
      </c>
      <c r="BA213">
        <f t="shared" si="24"/>
        <v>744902.32777009741</v>
      </c>
    </row>
    <row r="214" spans="1:53" x14ac:dyDescent="0.2">
      <c r="A214">
        <v>20</v>
      </c>
      <c r="B214" t="s">
        <v>55</v>
      </c>
      <c r="C214" s="1">
        <v>44219</v>
      </c>
      <c r="D214" t="s">
        <v>68</v>
      </c>
      <c r="E214" t="s">
        <v>74</v>
      </c>
      <c r="F214" t="s">
        <v>286</v>
      </c>
      <c r="G214" t="s">
        <v>271</v>
      </c>
      <c r="H214" t="s">
        <v>256</v>
      </c>
      <c r="I214" t="s">
        <v>288</v>
      </c>
      <c r="J214" t="s">
        <v>391</v>
      </c>
      <c r="K214" t="s">
        <v>54</v>
      </c>
      <c r="L214">
        <v>2021</v>
      </c>
      <c r="M214">
        <v>0</v>
      </c>
      <c r="N214">
        <v>1</v>
      </c>
      <c r="O214">
        <v>1</v>
      </c>
      <c r="P214">
        <v>0</v>
      </c>
      <c r="Q214">
        <v>5.5</v>
      </c>
      <c r="R214">
        <v>4.33</v>
      </c>
      <c r="S214">
        <v>1.55</v>
      </c>
      <c r="T214">
        <v>6</v>
      </c>
      <c r="U214">
        <v>4.2</v>
      </c>
      <c r="V214">
        <v>1.55</v>
      </c>
      <c r="W214">
        <v>5.5</v>
      </c>
      <c r="X214">
        <v>4.2</v>
      </c>
      <c r="Y214">
        <v>1.6</v>
      </c>
      <c r="Z214">
        <v>6.22</v>
      </c>
      <c r="AA214">
        <v>4.2</v>
      </c>
      <c r="AB214">
        <v>1.6</v>
      </c>
      <c r="AC214">
        <v>5.8</v>
      </c>
      <c r="AD214">
        <v>4.2</v>
      </c>
      <c r="AE214">
        <v>1.57</v>
      </c>
      <c r="AF214">
        <v>5.5</v>
      </c>
      <c r="AG214">
        <v>4.2</v>
      </c>
      <c r="AH214">
        <v>1.57</v>
      </c>
      <c r="AI214">
        <v>6.5</v>
      </c>
      <c r="AJ214">
        <v>4.53</v>
      </c>
      <c r="AK214">
        <v>1.62</v>
      </c>
      <c r="AL214">
        <v>5.79</v>
      </c>
      <c r="AM214">
        <v>4.17</v>
      </c>
      <c r="AN214">
        <v>1.57</v>
      </c>
      <c r="AO214">
        <v>1</v>
      </c>
      <c r="AP214">
        <v>0.15510550877548901</v>
      </c>
      <c r="AQ214">
        <v>0.222557573298163</v>
      </c>
      <c r="AR214">
        <v>0.62233691792634604</v>
      </c>
      <c r="AS214">
        <v>1</v>
      </c>
      <c r="AT214">
        <v>8.1858070406819403E-3</v>
      </c>
      <c r="AU214">
        <v>1.3604152353479599</v>
      </c>
      <c r="AV214">
        <f t="shared" si="20"/>
        <v>10539827.627691386</v>
      </c>
      <c r="AW214">
        <f t="shared" si="21"/>
        <v>1634785.3265990331</v>
      </c>
      <c r="AX214">
        <f t="shared" si="22"/>
        <v>2345718.459799937</v>
      </c>
      <c r="AY214">
        <f t="shared" si="23"/>
        <v>6559323.8412924167</v>
      </c>
      <c r="AZ214" cm="1">
        <f t="array" ref="AZ214">_xlfn.IFS(E214="H",AW214*AI214-AV214,E214="D",AX214*AJ214-AV214,E214="A",AY214*AK214-AV214)</f>
        <v>86276.99520232901</v>
      </c>
      <c r="BA214">
        <f t="shared" si="24"/>
        <v>831179.32297242642</v>
      </c>
    </row>
    <row r="215" spans="1:53" x14ac:dyDescent="0.2">
      <c r="A215">
        <v>19</v>
      </c>
      <c r="B215" t="s">
        <v>67</v>
      </c>
      <c r="C215" s="1">
        <v>44220</v>
      </c>
      <c r="D215" t="s">
        <v>121</v>
      </c>
      <c r="E215" t="s">
        <v>49</v>
      </c>
      <c r="F215" t="s">
        <v>132</v>
      </c>
      <c r="G215" t="s">
        <v>241</v>
      </c>
      <c r="H215" t="s">
        <v>256</v>
      </c>
      <c r="I215" t="s">
        <v>321</v>
      </c>
      <c r="J215" t="s">
        <v>402</v>
      </c>
      <c r="K215" t="s">
        <v>54</v>
      </c>
      <c r="L215">
        <v>2021</v>
      </c>
      <c r="M215">
        <v>3</v>
      </c>
      <c r="N215">
        <v>3.5</v>
      </c>
      <c r="O215">
        <v>0.5</v>
      </c>
      <c r="P215">
        <v>0</v>
      </c>
      <c r="Q215">
        <v>1.4</v>
      </c>
      <c r="R215">
        <v>5</v>
      </c>
      <c r="S215">
        <v>7</v>
      </c>
      <c r="T215">
        <v>1.4</v>
      </c>
      <c r="U215">
        <v>5</v>
      </c>
      <c r="V215">
        <v>7.25</v>
      </c>
      <c r="W215">
        <v>1.4</v>
      </c>
      <c r="X215">
        <v>4.9000000000000004</v>
      </c>
      <c r="Y215">
        <v>7.75</v>
      </c>
      <c r="Z215">
        <v>1.43</v>
      </c>
      <c r="AA215">
        <v>5.01</v>
      </c>
      <c r="AB215">
        <v>8</v>
      </c>
      <c r="AC215">
        <v>1.4</v>
      </c>
      <c r="AD215">
        <v>4.8</v>
      </c>
      <c r="AE215">
        <v>8</v>
      </c>
      <c r="AF215">
        <v>1.36</v>
      </c>
      <c r="AG215">
        <v>4.75</v>
      </c>
      <c r="AH215">
        <v>8</v>
      </c>
      <c r="AI215">
        <v>1.46</v>
      </c>
      <c r="AJ215">
        <v>5.3</v>
      </c>
      <c r="AK215">
        <v>8.4</v>
      </c>
      <c r="AL215">
        <v>1.41</v>
      </c>
      <c r="AM215">
        <v>4.9000000000000004</v>
      </c>
      <c r="AN215">
        <v>7.47</v>
      </c>
      <c r="AO215">
        <v>1</v>
      </c>
      <c r="AP215">
        <v>0.68999721025386695</v>
      </c>
      <c r="AQ215">
        <v>0.19007470320200801</v>
      </c>
      <c r="AR215">
        <v>0.119928086544124</v>
      </c>
      <c r="AS215">
        <v>1</v>
      </c>
      <c r="AT215">
        <v>7.3959269706458299E-3</v>
      </c>
      <c r="AU215">
        <v>1.3678111623186</v>
      </c>
      <c r="AV215">
        <f t="shared" si="20"/>
        <v>11371006.950663812</v>
      </c>
      <c r="AW215">
        <f t="shared" si="21"/>
        <v>7845963.073735361</v>
      </c>
      <c r="AX215">
        <f t="shared" si="22"/>
        <v>2161340.771255401</v>
      </c>
      <c r="AY215">
        <f t="shared" si="23"/>
        <v>1363703.1056730507</v>
      </c>
      <c r="AZ215" cm="1">
        <f t="array" ref="AZ215">_xlfn.IFS(E215="H",AW215*AI215-AV215,E215="D",AX215*AJ215-AV215,E215="A",AY215*AK215-AV215)</f>
        <v>84099.136989815161</v>
      </c>
      <c r="BA215">
        <f t="shared" si="24"/>
        <v>915278.45996224158</v>
      </c>
    </row>
    <row r="216" spans="1:53" x14ac:dyDescent="0.2">
      <c r="A216">
        <v>20</v>
      </c>
      <c r="B216" t="s">
        <v>67</v>
      </c>
      <c r="C216" s="1">
        <v>44220</v>
      </c>
      <c r="D216" t="s">
        <v>68</v>
      </c>
      <c r="E216" t="s">
        <v>49</v>
      </c>
      <c r="F216" t="s">
        <v>291</v>
      </c>
      <c r="G216" t="s">
        <v>353</v>
      </c>
      <c r="H216" t="s">
        <v>256</v>
      </c>
      <c r="I216" t="s">
        <v>292</v>
      </c>
      <c r="J216" t="s">
        <v>310</v>
      </c>
      <c r="K216" t="s">
        <v>54</v>
      </c>
      <c r="L216">
        <v>2021</v>
      </c>
      <c r="M216">
        <v>3</v>
      </c>
      <c r="N216">
        <v>2</v>
      </c>
      <c r="O216">
        <v>3</v>
      </c>
      <c r="P216">
        <v>1</v>
      </c>
      <c r="Q216">
        <v>1.4</v>
      </c>
      <c r="R216">
        <v>4.75</v>
      </c>
      <c r="S216">
        <v>8</v>
      </c>
      <c r="T216">
        <v>1.4</v>
      </c>
      <c r="U216">
        <v>4.5999999999999996</v>
      </c>
      <c r="V216">
        <v>8.25</v>
      </c>
      <c r="W216">
        <v>1.45</v>
      </c>
      <c r="X216">
        <v>4.4000000000000004</v>
      </c>
      <c r="Y216">
        <v>7.5</v>
      </c>
      <c r="Z216">
        <v>1.43</v>
      </c>
      <c r="AA216">
        <v>4.75</v>
      </c>
      <c r="AB216">
        <v>8.6</v>
      </c>
      <c r="AC216">
        <v>1.4</v>
      </c>
      <c r="AD216">
        <v>4.75</v>
      </c>
      <c r="AE216">
        <v>8</v>
      </c>
      <c r="AF216">
        <v>1.4</v>
      </c>
      <c r="AG216">
        <v>4.33</v>
      </c>
      <c r="AH216">
        <v>8</v>
      </c>
      <c r="AI216">
        <v>1.45</v>
      </c>
      <c r="AJ216">
        <v>5.15</v>
      </c>
      <c r="AK216">
        <v>9</v>
      </c>
      <c r="AL216">
        <v>1.42</v>
      </c>
      <c r="AM216">
        <v>4.6100000000000003</v>
      </c>
      <c r="AN216">
        <v>8</v>
      </c>
      <c r="AO216">
        <v>1</v>
      </c>
      <c r="AP216">
        <v>0.69316184992709395</v>
      </c>
      <c r="AQ216">
        <v>0.19516207425131701</v>
      </c>
      <c r="AR216">
        <v>0.11167607582158701</v>
      </c>
      <c r="AS216">
        <v>1</v>
      </c>
      <c r="AT216">
        <v>5.0846823942873797E-3</v>
      </c>
      <c r="AU216">
        <v>1.3728958447128901</v>
      </c>
      <c r="AV216">
        <f t="shared" si="20"/>
        <v>12286285.410626054</v>
      </c>
      <c r="AW216">
        <f t="shared" si="21"/>
        <v>8516384.3239618298</v>
      </c>
      <c r="AX216">
        <f t="shared" si="22"/>
        <v>2397816.945581486</v>
      </c>
      <c r="AY216">
        <f t="shared" si="23"/>
        <v>1372084.141082739</v>
      </c>
      <c r="AZ216" cm="1">
        <f t="array" ref="AZ216">_xlfn.IFS(E216="H",AW216*AI216-AV216,E216="D",AX216*AJ216-AV216,E216="A",AY216*AK216-AV216)</f>
        <v>62471.859118599445</v>
      </c>
      <c r="BA216">
        <f t="shared" si="24"/>
        <v>977750.31908084103</v>
      </c>
    </row>
    <row r="217" spans="1:53" x14ac:dyDescent="0.2">
      <c r="A217">
        <v>21</v>
      </c>
      <c r="B217" t="s">
        <v>67</v>
      </c>
      <c r="C217" s="1">
        <v>44220</v>
      </c>
      <c r="D217" t="s">
        <v>183</v>
      </c>
      <c r="E217" t="s">
        <v>57</v>
      </c>
      <c r="F217" t="s">
        <v>331</v>
      </c>
      <c r="G217" t="s">
        <v>83</v>
      </c>
      <c r="H217" t="s">
        <v>256</v>
      </c>
      <c r="I217" t="s">
        <v>403</v>
      </c>
      <c r="J217" t="s">
        <v>386</v>
      </c>
      <c r="K217" t="s">
        <v>54</v>
      </c>
      <c r="L217">
        <v>2021</v>
      </c>
      <c r="M217">
        <v>1</v>
      </c>
      <c r="N217">
        <v>0</v>
      </c>
      <c r="O217">
        <v>3</v>
      </c>
      <c r="P217">
        <v>1</v>
      </c>
      <c r="Q217">
        <v>3.75</v>
      </c>
      <c r="R217">
        <v>3.5</v>
      </c>
      <c r="S217">
        <v>2</v>
      </c>
      <c r="T217">
        <v>3.6</v>
      </c>
      <c r="U217">
        <v>3.5</v>
      </c>
      <c r="V217">
        <v>2.0499999999999998</v>
      </c>
      <c r="W217">
        <v>3.8</v>
      </c>
      <c r="X217">
        <v>3.4</v>
      </c>
      <c r="Y217">
        <v>2.0499999999999998</v>
      </c>
      <c r="Z217">
        <v>3.77</v>
      </c>
      <c r="AA217">
        <v>3.68</v>
      </c>
      <c r="AB217">
        <v>2.06</v>
      </c>
      <c r="AC217">
        <v>3.6</v>
      </c>
      <c r="AD217">
        <v>3.4</v>
      </c>
      <c r="AE217">
        <v>2.0499999999999998</v>
      </c>
      <c r="AF217">
        <v>3.8</v>
      </c>
      <c r="AG217">
        <v>3.25</v>
      </c>
      <c r="AH217">
        <v>2</v>
      </c>
      <c r="AI217">
        <v>3.86</v>
      </c>
      <c r="AJ217">
        <v>3.72</v>
      </c>
      <c r="AK217">
        <v>2.12</v>
      </c>
      <c r="AL217">
        <v>3.68</v>
      </c>
      <c r="AM217">
        <v>3.47</v>
      </c>
      <c r="AN217">
        <v>2.0299999999999998</v>
      </c>
      <c r="AO217">
        <v>1</v>
      </c>
      <c r="AP217">
        <v>0.25917551793038102</v>
      </c>
      <c r="AQ217">
        <v>0.26892943527184698</v>
      </c>
      <c r="AR217">
        <v>0.47189504679777</v>
      </c>
      <c r="AS217">
        <v>1</v>
      </c>
      <c r="AT217" s="2">
        <v>4.17499211273542E-4</v>
      </c>
      <c r="AU217">
        <v>1.37331334392416</v>
      </c>
      <c r="AV217">
        <f t="shared" si="20"/>
        <v>13264035.729706895</v>
      </c>
      <c r="AW217">
        <f t="shared" si="21"/>
        <v>3437713.3300938737</v>
      </c>
      <c r="AX217">
        <f t="shared" si="22"/>
        <v>3567089.6382156857</v>
      </c>
      <c r="AY217">
        <f t="shared" si="23"/>
        <v>6259232.7613973347</v>
      </c>
      <c r="AZ217" cm="1">
        <f t="array" ref="AZ217">_xlfn.IFS(E217="H",AW217*AI217-AV217,E217="D",AX217*AJ217-AV217,E217="A",AY217*AK217-AV217)</f>
        <v>5537.7244554571807</v>
      </c>
      <c r="BA217">
        <f t="shared" si="24"/>
        <v>983288.04353629821</v>
      </c>
    </row>
    <row r="218" spans="1:53" x14ac:dyDescent="0.2">
      <c r="A218">
        <v>20</v>
      </c>
      <c r="B218" t="s">
        <v>202</v>
      </c>
      <c r="C218" s="1">
        <v>44223</v>
      </c>
      <c r="D218" t="s">
        <v>254</v>
      </c>
      <c r="E218" t="s">
        <v>57</v>
      </c>
      <c r="F218" t="s">
        <v>91</v>
      </c>
      <c r="G218" t="s">
        <v>404</v>
      </c>
      <c r="H218" t="s">
        <v>256</v>
      </c>
      <c r="I218" t="s">
        <v>93</v>
      </c>
      <c r="J218" t="s">
        <v>251</v>
      </c>
      <c r="K218" t="s">
        <v>54</v>
      </c>
      <c r="L218">
        <v>2021</v>
      </c>
      <c r="M218">
        <v>0</v>
      </c>
      <c r="N218">
        <v>1</v>
      </c>
      <c r="O218">
        <v>1</v>
      </c>
      <c r="P218">
        <v>3</v>
      </c>
      <c r="Q218">
        <v>1.6</v>
      </c>
      <c r="R218">
        <v>4.2</v>
      </c>
      <c r="S218">
        <v>5.25</v>
      </c>
      <c r="T218">
        <v>1.6</v>
      </c>
      <c r="U218">
        <v>4.0999999999999996</v>
      </c>
      <c r="V218">
        <v>5.5</v>
      </c>
      <c r="W218">
        <v>1.63</v>
      </c>
      <c r="X218">
        <v>3.95</v>
      </c>
      <c r="Y218">
        <v>5.5</v>
      </c>
      <c r="Z218">
        <v>1.63</v>
      </c>
      <c r="AA218">
        <v>4.26</v>
      </c>
      <c r="AB218">
        <v>5.68</v>
      </c>
      <c r="AC218">
        <v>1.6</v>
      </c>
      <c r="AD218">
        <v>4</v>
      </c>
      <c r="AE218">
        <v>5.8</v>
      </c>
      <c r="AF218">
        <v>1.6</v>
      </c>
      <c r="AG218">
        <v>3.9</v>
      </c>
      <c r="AH218">
        <v>6</v>
      </c>
      <c r="AI218">
        <v>1.69</v>
      </c>
      <c r="AJ218">
        <v>4.3</v>
      </c>
      <c r="AK218">
        <v>6</v>
      </c>
      <c r="AL218">
        <v>1.62</v>
      </c>
      <c r="AM218">
        <v>4.08</v>
      </c>
      <c r="AN218">
        <v>5.53</v>
      </c>
      <c r="AO218">
        <v>1</v>
      </c>
      <c r="AP218">
        <v>0.597125465781007</v>
      </c>
      <c r="AQ218">
        <v>0.234684194690675</v>
      </c>
      <c r="AR218">
        <v>0.168190339528317</v>
      </c>
      <c r="AS218">
        <v>1</v>
      </c>
      <c r="AT218">
        <v>9.1420371699029099E-3</v>
      </c>
      <c r="AU218">
        <v>1.3824553810940601</v>
      </c>
      <c r="AV218">
        <f t="shared" si="20"/>
        <v>14247323.773243193</v>
      </c>
      <c r="AW218">
        <f t="shared" si="21"/>
        <v>8507439.8442306649</v>
      </c>
      <c r="AX218">
        <f t="shared" si="22"/>
        <v>3343621.7062208895</v>
      </c>
      <c r="AY218">
        <f t="shared" si="23"/>
        <v>2396262.2227916373</v>
      </c>
      <c r="AZ218" cm="1">
        <f t="array" ref="AZ218">_xlfn.IFS(E218="H",AW218*AI218-AV218,E218="D",AX218*AJ218-AV218,E218="A",AY218*AK218-AV218)</f>
        <v>130249.56350663118</v>
      </c>
      <c r="BA218">
        <f t="shared" si="24"/>
        <v>1113537.6070429294</v>
      </c>
    </row>
    <row r="219" spans="1:53" x14ac:dyDescent="0.2">
      <c r="A219">
        <v>20</v>
      </c>
      <c r="B219" t="s">
        <v>202</v>
      </c>
      <c r="C219" s="1">
        <v>44223</v>
      </c>
      <c r="D219" t="s">
        <v>203</v>
      </c>
      <c r="E219" t="s">
        <v>57</v>
      </c>
      <c r="F219" t="s">
        <v>284</v>
      </c>
      <c r="G219" t="s">
        <v>405</v>
      </c>
      <c r="H219" t="s">
        <v>256</v>
      </c>
      <c r="I219" t="s">
        <v>285</v>
      </c>
      <c r="J219" t="s">
        <v>297</v>
      </c>
      <c r="K219" t="s">
        <v>54</v>
      </c>
      <c r="L219">
        <v>2021</v>
      </c>
      <c r="M219">
        <v>1</v>
      </c>
      <c r="N219">
        <v>3</v>
      </c>
      <c r="O219">
        <v>1</v>
      </c>
      <c r="P219">
        <v>1</v>
      </c>
      <c r="Q219">
        <v>2.0499999999999998</v>
      </c>
      <c r="R219">
        <v>3.4</v>
      </c>
      <c r="S219">
        <v>3.75</v>
      </c>
      <c r="T219">
        <v>2.1</v>
      </c>
      <c r="U219">
        <v>3.4</v>
      </c>
      <c r="V219">
        <v>3.6</v>
      </c>
      <c r="W219">
        <v>2.0499999999999998</v>
      </c>
      <c r="X219">
        <v>3.3</v>
      </c>
      <c r="Y219">
        <v>3.85</v>
      </c>
      <c r="Z219">
        <v>2.0699999999999998</v>
      </c>
      <c r="AA219">
        <v>3.47</v>
      </c>
      <c r="AB219">
        <v>3.96</v>
      </c>
      <c r="AC219">
        <v>2.0499999999999998</v>
      </c>
      <c r="AD219">
        <v>3.3</v>
      </c>
      <c r="AE219">
        <v>3.8</v>
      </c>
      <c r="AF219">
        <v>2.0499999999999998</v>
      </c>
      <c r="AG219">
        <v>3.3</v>
      </c>
      <c r="AH219">
        <v>3.8</v>
      </c>
      <c r="AI219">
        <v>2.14</v>
      </c>
      <c r="AJ219">
        <v>3.56</v>
      </c>
      <c r="AK219">
        <v>4</v>
      </c>
      <c r="AL219">
        <v>2.06</v>
      </c>
      <c r="AM219">
        <v>3.38</v>
      </c>
      <c r="AN219">
        <v>3.82</v>
      </c>
      <c r="AO219">
        <v>1</v>
      </c>
      <c r="AP219">
        <v>0.46813770612523897</v>
      </c>
      <c r="AQ219">
        <v>0.281408621097756</v>
      </c>
      <c r="AR219">
        <v>0.25045367277700298</v>
      </c>
      <c r="AS219">
        <v>0.999999999999999</v>
      </c>
      <c r="AT219">
        <v>1.8146911080134599E-3</v>
      </c>
      <c r="AU219">
        <v>1.38427007220208</v>
      </c>
      <c r="AV219">
        <f t="shared" si="20"/>
        <v>15360861.380286122</v>
      </c>
      <c r="AW219">
        <f t="shared" si="21"/>
        <v>7190998.4106749324</v>
      </c>
      <c r="AX219">
        <f t="shared" si="22"/>
        <v>4322678.8199001001</v>
      </c>
      <c r="AY219">
        <f t="shared" si="23"/>
        <v>3847184.1497110887</v>
      </c>
      <c r="AZ219" cm="1">
        <f t="array" ref="AZ219">_xlfn.IFS(E219="H",AW219*AI219-AV219,E219="D",AX219*AJ219-AV219,E219="A",AY219*AK219-AV219)</f>
        <v>27875.218558235094</v>
      </c>
      <c r="BA219">
        <f t="shared" si="24"/>
        <v>1141412.8256011645</v>
      </c>
    </row>
    <row r="220" spans="1:53" x14ac:dyDescent="0.2">
      <c r="A220">
        <v>19</v>
      </c>
      <c r="B220" t="s">
        <v>55</v>
      </c>
      <c r="C220" s="1">
        <v>44226</v>
      </c>
      <c r="D220" t="s">
        <v>73</v>
      </c>
      <c r="E220" t="s">
        <v>49</v>
      </c>
      <c r="F220" t="s">
        <v>191</v>
      </c>
      <c r="G220" t="s">
        <v>138</v>
      </c>
      <c r="H220" t="s">
        <v>256</v>
      </c>
      <c r="I220" t="s">
        <v>193</v>
      </c>
      <c r="J220" t="s">
        <v>406</v>
      </c>
      <c r="K220" t="s">
        <v>54</v>
      </c>
      <c r="L220">
        <v>2021</v>
      </c>
      <c r="M220">
        <v>3</v>
      </c>
      <c r="N220">
        <v>3.5</v>
      </c>
      <c r="O220">
        <v>1.5</v>
      </c>
      <c r="P220">
        <v>1.5</v>
      </c>
      <c r="Q220">
        <v>1.2</v>
      </c>
      <c r="R220">
        <v>8</v>
      </c>
      <c r="S220">
        <v>11</v>
      </c>
      <c r="T220">
        <v>1.25</v>
      </c>
      <c r="U220">
        <v>6.75</v>
      </c>
      <c r="V220">
        <v>10</v>
      </c>
      <c r="W220">
        <v>1.25</v>
      </c>
      <c r="X220">
        <v>7</v>
      </c>
      <c r="Y220">
        <v>9</v>
      </c>
      <c r="Z220">
        <v>1.24</v>
      </c>
      <c r="AA220">
        <v>7.13</v>
      </c>
      <c r="AB220">
        <v>11.48</v>
      </c>
      <c r="AC220">
        <v>1.22</v>
      </c>
      <c r="AD220">
        <v>7</v>
      </c>
      <c r="AE220">
        <v>10</v>
      </c>
      <c r="AF220">
        <v>1.22</v>
      </c>
      <c r="AG220">
        <v>7</v>
      </c>
      <c r="AH220">
        <v>9.5</v>
      </c>
      <c r="AI220">
        <v>1.27</v>
      </c>
      <c r="AJ220">
        <v>8</v>
      </c>
      <c r="AK220">
        <v>11.5</v>
      </c>
      <c r="AL220">
        <v>1.24</v>
      </c>
      <c r="AM220">
        <v>7.03</v>
      </c>
      <c r="AN220">
        <v>10.220000000000001</v>
      </c>
      <c r="AO220">
        <v>1</v>
      </c>
      <c r="AP220">
        <v>0.78790733524600598</v>
      </c>
      <c r="AQ220">
        <v>0.125080289470303</v>
      </c>
      <c r="AR220">
        <v>8.7012375283689394E-2</v>
      </c>
      <c r="AS220">
        <v>0.999999999999999</v>
      </c>
      <c r="AT220" s="2">
        <v>6.4231576242868005E-4</v>
      </c>
      <c r="AU220">
        <v>1.38491238796451</v>
      </c>
      <c r="AV220">
        <f t="shared" si="20"/>
        <v>16502274.205887286</v>
      </c>
      <c r="AW220">
        <f t="shared" si="21"/>
        <v>13002262.895059567</v>
      </c>
      <c r="AX220">
        <f t="shared" si="22"/>
        <v>2064109.2345907064</v>
      </c>
      <c r="AY220">
        <f t="shared" si="23"/>
        <v>1435902.0762370131</v>
      </c>
      <c r="AZ220" cm="1">
        <f t="array" ref="AZ220">_xlfn.IFS(E220="H",AW220*AI220-AV220,E220="D",AX220*AJ220-AV220,E220="A",AY220*AK220-AV220)</f>
        <v>10599.670838363469</v>
      </c>
      <c r="BA220">
        <f t="shared" si="24"/>
        <v>1152012.496439528</v>
      </c>
    </row>
    <row r="221" spans="1:53" x14ac:dyDescent="0.2">
      <c r="A221">
        <v>19</v>
      </c>
      <c r="B221" t="s">
        <v>55</v>
      </c>
      <c r="C221" s="1">
        <v>44226</v>
      </c>
      <c r="D221" t="s">
        <v>73</v>
      </c>
      <c r="E221" t="s">
        <v>57</v>
      </c>
      <c r="F221" t="s">
        <v>255</v>
      </c>
      <c r="G221" t="s">
        <v>76</v>
      </c>
      <c r="H221" t="s">
        <v>256</v>
      </c>
      <c r="I221" t="s">
        <v>343</v>
      </c>
      <c r="J221" t="s">
        <v>257</v>
      </c>
      <c r="K221" t="s">
        <v>54</v>
      </c>
      <c r="L221">
        <v>2021</v>
      </c>
      <c r="M221">
        <v>2</v>
      </c>
      <c r="N221">
        <v>1.5</v>
      </c>
      <c r="O221">
        <v>2</v>
      </c>
      <c r="P221">
        <v>1.5</v>
      </c>
      <c r="Q221">
        <v>3.2</v>
      </c>
      <c r="R221">
        <v>3.4</v>
      </c>
      <c r="S221">
        <v>2.25</v>
      </c>
      <c r="T221">
        <v>3.25</v>
      </c>
      <c r="U221">
        <v>3.4</v>
      </c>
      <c r="V221">
        <v>2.25</v>
      </c>
      <c r="W221">
        <v>3.3</v>
      </c>
      <c r="X221">
        <v>3.35</v>
      </c>
      <c r="Y221">
        <v>2.25</v>
      </c>
      <c r="Z221">
        <v>3.47</v>
      </c>
      <c r="AA221">
        <v>3.41</v>
      </c>
      <c r="AB221">
        <v>2.27</v>
      </c>
      <c r="AC221">
        <v>3.2</v>
      </c>
      <c r="AD221">
        <v>3.4</v>
      </c>
      <c r="AE221">
        <v>2.2000000000000002</v>
      </c>
      <c r="AF221">
        <v>3.1</v>
      </c>
      <c r="AG221">
        <v>3.5</v>
      </c>
      <c r="AH221">
        <v>2.2000000000000002</v>
      </c>
      <c r="AI221">
        <v>3.47</v>
      </c>
      <c r="AJ221">
        <v>3.75</v>
      </c>
      <c r="AK221">
        <v>2.35</v>
      </c>
      <c r="AL221">
        <v>3.28</v>
      </c>
      <c r="AM221">
        <v>3.38</v>
      </c>
      <c r="AN221">
        <v>2.2400000000000002</v>
      </c>
      <c r="AO221">
        <v>1</v>
      </c>
      <c r="AP221">
        <v>0.29395086642538998</v>
      </c>
      <c r="AQ221">
        <v>0.27200253506562799</v>
      </c>
      <c r="AR221">
        <v>0.43404659850898097</v>
      </c>
      <c r="AS221">
        <v>1</v>
      </c>
      <c r="AT221">
        <v>2.0009506496105799E-2</v>
      </c>
      <c r="AU221">
        <v>1.4049218944606101</v>
      </c>
      <c r="AV221">
        <f t="shared" si="20"/>
        <v>17654286.702326816</v>
      </c>
      <c r="AW221">
        <f t="shared" si="21"/>
        <v>5189492.8722712211</v>
      </c>
      <c r="AX221">
        <f t="shared" si="22"/>
        <v>4802010.737808303</v>
      </c>
      <c r="AY221">
        <f t="shared" si="23"/>
        <v>7662783.0922472924</v>
      </c>
      <c r="AZ221" cm="1">
        <f t="array" ref="AZ221">_xlfn.IFS(E221="H",AW221*AI221-AV221,E221="D",AX221*AJ221-AV221,E221="A",AY221*AK221-AV221)</f>
        <v>353253.56445432082</v>
      </c>
      <c r="BA221">
        <f t="shared" si="24"/>
        <v>1505266.0608938488</v>
      </c>
    </row>
    <row r="222" spans="1:53" x14ac:dyDescent="0.2">
      <c r="A222">
        <v>20</v>
      </c>
      <c r="B222" t="s">
        <v>67</v>
      </c>
      <c r="C222" s="1">
        <v>44227</v>
      </c>
      <c r="D222" t="s">
        <v>183</v>
      </c>
      <c r="E222" t="s">
        <v>74</v>
      </c>
      <c r="F222" t="s">
        <v>195</v>
      </c>
      <c r="G222" t="s">
        <v>184</v>
      </c>
      <c r="H222" t="s">
        <v>256</v>
      </c>
      <c r="I222" t="s">
        <v>207</v>
      </c>
      <c r="J222" t="s">
        <v>111</v>
      </c>
      <c r="K222" t="s">
        <v>54</v>
      </c>
      <c r="L222">
        <v>2021</v>
      </c>
      <c r="M222">
        <v>2.3333333333333299</v>
      </c>
      <c r="N222">
        <v>2.6666666666666599</v>
      </c>
      <c r="O222">
        <v>2</v>
      </c>
      <c r="P222">
        <v>1.5</v>
      </c>
      <c r="Q222">
        <v>1.7</v>
      </c>
      <c r="R222">
        <v>4.2</v>
      </c>
      <c r="S222">
        <v>4.33</v>
      </c>
      <c r="T222">
        <v>1.78</v>
      </c>
      <c r="U222">
        <v>4</v>
      </c>
      <c r="V222">
        <v>4.25</v>
      </c>
      <c r="W222">
        <v>1.73</v>
      </c>
      <c r="X222">
        <v>4.2</v>
      </c>
      <c r="Y222">
        <v>4.3</v>
      </c>
      <c r="Z222">
        <v>1.78</v>
      </c>
      <c r="AA222">
        <v>4.24</v>
      </c>
      <c r="AB222">
        <v>4.46</v>
      </c>
      <c r="AC222">
        <v>1.73</v>
      </c>
      <c r="AD222">
        <v>4</v>
      </c>
      <c r="AE222">
        <v>4.5</v>
      </c>
      <c r="AF222">
        <v>1.7</v>
      </c>
      <c r="AG222">
        <v>4</v>
      </c>
      <c r="AH222">
        <v>4.33</v>
      </c>
      <c r="AI222">
        <v>1.81</v>
      </c>
      <c r="AJ222">
        <v>4.3</v>
      </c>
      <c r="AK222">
        <v>4.66</v>
      </c>
      <c r="AL222">
        <v>1.74</v>
      </c>
      <c r="AM222">
        <v>4.12</v>
      </c>
      <c r="AN222">
        <v>4.34</v>
      </c>
      <c r="AO222">
        <v>1</v>
      </c>
      <c r="AP222">
        <v>0.552687033175564</v>
      </c>
      <c r="AQ222">
        <v>0.232642681406458</v>
      </c>
      <c r="AR222">
        <v>0.214670285417976</v>
      </c>
      <c r="AS222">
        <v>1</v>
      </c>
      <c r="AT222" s="2">
        <v>3.6353004777200899E-4</v>
      </c>
      <c r="AU222">
        <v>1.4052854245083899</v>
      </c>
      <c r="AV222">
        <f t="shared" si="20"/>
        <v>19159552.763220664</v>
      </c>
      <c r="AW222">
        <f t="shared" si="21"/>
        <v>10589236.373675119</v>
      </c>
      <c r="AX222">
        <f t="shared" si="22"/>
        <v>4457329.7293841783</v>
      </c>
      <c r="AY222">
        <f t="shared" si="23"/>
        <v>4112986.6601613658</v>
      </c>
      <c r="AZ222" cm="1">
        <f t="array" ref="AZ222">_xlfn.IFS(E222="H",AW222*AI222-AV222,E222="D",AX222*AJ222-AV222,E222="A",AY222*AK222-AV222)</f>
        <v>6965.073131300509</v>
      </c>
      <c r="BA222">
        <f t="shared" si="24"/>
        <v>1512231.1340251493</v>
      </c>
    </row>
    <row r="223" spans="1:53" x14ac:dyDescent="0.2">
      <c r="A223">
        <v>20</v>
      </c>
      <c r="B223" t="s">
        <v>67</v>
      </c>
      <c r="C223" s="1">
        <v>44227</v>
      </c>
      <c r="D223" t="s">
        <v>183</v>
      </c>
      <c r="E223" t="s">
        <v>74</v>
      </c>
      <c r="F223" t="s">
        <v>376</v>
      </c>
      <c r="G223" t="s">
        <v>274</v>
      </c>
      <c r="H223" t="s">
        <v>256</v>
      </c>
      <c r="I223" t="s">
        <v>392</v>
      </c>
      <c r="J223" t="s">
        <v>276</v>
      </c>
      <c r="K223" t="s">
        <v>54</v>
      </c>
      <c r="L223">
        <v>2021</v>
      </c>
      <c r="M223">
        <v>1.5</v>
      </c>
      <c r="N223">
        <v>2.5</v>
      </c>
      <c r="O223">
        <v>0.5</v>
      </c>
      <c r="P223">
        <v>0.5</v>
      </c>
      <c r="Q223">
        <v>2.9</v>
      </c>
      <c r="R223">
        <v>3.3</v>
      </c>
      <c r="S223">
        <v>2.4500000000000002</v>
      </c>
      <c r="T223">
        <v>2.95</v>
      </c>
      <c r="U223">
        <v>3.2</v>
      </c>
      <c r="V223">
        <v>2.4500000000000002</v>
      </c>
      <c r="W223">
        <v>3</v>
      </c>
      <c r="X223">
        <v>3.2</v>
      </c>
      <c r="Y223">
        <v>2.5</v>
      </c>
      <c r="Z223">
        <v>3.08</v>
      </c>
      <c r="AA223">
        <v>3.29</v>
      </c>
      <c r="AB223">
        <v>2.54</v>
      </c>
      <c r="AC223">
        <v>2.9</v>
      </c>
      <c r="AD223">
        <v>3.25</v>
      </c>
      <c r="AE223">
        <v>2.5</v>
      </c>
      <c r="AF223">
        <v>2.9</v>
      </c>
      <c r="AG223">
        <v>3.1</v>
      </c>
      <c r="AH223">
        <v>2.5</v>
      </c>
      <c r="AI223">
        <v>3.1</v>
      </c>
      <c r="AJ223">
        <v>3.54</v>
      </c>
      <c r="AK223">
        <v>2.64</v>
      </c>
      <c r="AL223">
        <v>2.96</v>
      </c>
      <c r="AM223">
        <v>3.22</v>
      </c>
      <c r="AN223">
        <v>2.4900000000000002</v>
      </c>
      <c r="AO223">
        <v>1</v>
      </c>
      <c r="AP223">
        <v>0.32787437376331402</v>
      </c>
      <c r="AQ223">
        <v>0.28712162674188502</v>
      </c>
      <c r="AR223">
        <v>0.38500399949480002</v>
      </c>
      <c r="AS223">
        <v>1</v>
      </c>
      <c r="AT223">
        <v>1.6410558666273899E-2</v>
      </c>
      <c r="AU223">
        <v>1.4216959831746601</v>
      </c>
      <c r="AV223">
        <f t="shared" si="20"/>
        <v>20671783.897245813</v>
      </c>
      <c r="AW223">
        <f t="shared" si="21"/>
        <v>6777748.1998800319</v>
      </c>
      <c r="AX223">
        <f t="shared" si="22"/>
        <v>5935316.2202339265</v>
      </c>
      <c r="AY223">
        <f t="shared" si="23"/>
        <v>7958719.4771318566</v>
      </c>
      <c r="AZ223" cm="1">
        <f t="array" ref="AZ223">_xlfn.IFS(E223="H",AW223*AI223-AV223,E223="D",AX223*AJ223-AV223,E223="A",AY223*AK223-AV223)</f>
        <v>339235.52238228917</v>
      </c>
      <c r="BA223">
        <f t="shared" si="24"/>
        <v>1851466.6564074385</v>
      </c>
    </row>
    <row r="224" spans="1:53" x14ac:dyDescent="0.2">
      <c r="A224">
        <v>22</v>
      </c>
      <c r="B224" t="s">
        <v>130</v>
      </c>
      <c r="C224" s="1">
        <v>44229</v>
      </c>
      <c r="D224" t="s">
        <v>254</v>
      </c>
      <c r="E224" t="s">
        <v>49</v>
      </c>
      <c r="F224" t="s">
        <v>92</v>
      </c>
      <c r="G224" t="s">
        <v>358</v>
      </c>
      <c r="H224" t="s">
        <v>256</v>
      </c>
      <c r="I224" t="s">
        <v>231</v>
      </c>
      <c r="J224" t="s">
        <v>407</v>
      </c>
      <c r="K224" t="s">
        <v>54</v>
      </c>
      <c r="L224">
        <v>2021</v>
      </c>
      <c r="M224">
        <v>1.5</v>
      </c>
      <c r="N224">
        <v>1</v>
      </c>
      <c r="O224">
        <v>1.5</v>
      </c>
      <c r="P224">
        <v>2</v>
      </c>
      <c r="Q224">
        <v>2</v>
      </c>
      <c r="R224">
        <v>3.3</v>
      </c>
      <c r="S224">
        <v>4</v>
      </c>
      <c r="T224">
        <v>1.95</v>
      </c>
      <c r="U224">
        <v>3.3</v>
      </c>
      <c r="V224">
        <v>4.2</v>
      </c>
      <c r="W224">
        <v>2.1</v>
      </c>
      <c r="X224">
        <v>3.2</v>
      </c>
      <c r="Y224">
        <v>3.85</v>
      </c>
      <c r="Z224">
        <v>2.11</v>
      </c>
      <c r="AA224">
        <v>3.33</v>
      </c>
      <c r="AB224">
        <v>4.03</v>
      </c>
      <c r="AC224">
        <v>1.95</v>
      </c>
      <c r="AD224">
        <v>3.3</v>
      </c>
      <c r="AE224">
        <v>4.2</v>
      </c>
      <c r="AF224">
        <v>2.0499999999999998</v>
      </c>
      <c r="AG224">
        <v>3.2</v>
      </c>
      <c r="AH224">
        <v>4</v>
      </c>
      <c r="AI224">
        <v>2.14</v>
      </c>
      <c r="AJ224">
        <v>3.48</v>
      </c>
      <c r="AK224">
        <v>4.3</v>
      </c>
      <c r="AL224">
        <v>2.0499999999999998</v>
      </c>
      <c r="AM224">
        <v>3.3</v>
      </c>
      <c r="AN224">
        <v>3.99</v>
      </c>
      <c r="AO224">
        <v>1</v>
      </c>
      <c r="AP224">
        <v>0.473346576746422</v>
      </c>
      <c r="AQ224">
        <v>0.29108094087279901</v>
      </c>
      <c r="AR224">
        <v>0.23557248238077699</v>
      </c>
      <c r="AS224">
        <v>1</v>
      </c>
      <c r="AT224">
        <v>1.2961674237343899E-2</v>
      </c>
      <c r="AU224">
        <v>1.434657657412</v>
      </c>
      <c r="AV224">
        <f t="shared" si="20"/>
        <v>22523250.553653251</v>
      </c>
      <c r="AW224">
        <f t="shared" si="21"/>
        <v>10661303.546773728</v>
      </c>
      <c r="AX224">
        <f t="shared" si="22"/>
        <v>6556088.9626712017</v>
      </c>
      <c r="AY224">
        <f t="shared" si="23"/>
        <v>5305858.0442083217</v>
      </c>
      <c r="AZ224" cm="1">
        <f t="array" ref="AZ224">_xlfn.IFS(E224="H",AW224*AI224-AV224,E224="D",AX224*AJ224-AV224,E224="A",AY224*AK224-AV224)</f>
        <v>291939.03644252941</v>
      </c>
      <c r="BA224">
        <f t="shared" si="24"/>
        <v>2143405.6928499676</v>
      </c>
    </row>
    <row r="225" spans="1:53" x14ac:dyDescent="0.2">
      <c r="A225">
        <v>21</v>
      </c>
      <c r="B225" t="s">
        <v>55</v>
      </c>
      <c r="C225" s="1">
        <v>44233</v>
      </c>
      <c r="D225" t="s">
        <v>48</v>
      </c>
      <c r="E225" t="s">
        <v>49</v>
      </c>
      <c r="F225" t="s">
        <v>274</v>
      </c>
      <c r="G225" t="s">
        <v>303</v>
      </c>
      <c r="H225" t="s">
        <v>256</v>
      </c>
      <c r="I225" t="s">
        <v>275</v>
      </c>
      <c r="J225" t="s">
        <v>186</v>
      </c>
      <c r="K225" t="s">
        <v>54</v>
      </c>
      <c r="L225">
        <v>2021</v>
      </c>
      <c r="M225">
        <v>2.3333333333333299</v>
      </c>
      <c r="N225">
        <v>1.3333333333333299</v>
      </c>
      <c r="O225">
        <v>2</v>
      </c>
      <c r="P225">
        <v>2.3333333333333299</v>
      </c>
      <c r="Q225">
        <v>5</v>
      </c>
      <c r="R225">
        <v>3.9</v>
      </c>
      <c r="S225">
        <v>1.66</v>
      </c>
      <c r="T225">
        <v>5.5</v>
      </c>
      <c r="U225">
        <v>4</v>
      </c>
      <c r="V225">
        <v>1.62</v>
      </c>
      <c r="W225">
        <v>5.25</v>
      </c>
      <c r="X225">
        <v>3.95</v>
      </c>
      <c r="Y225">
        <v>1.65</v>
      </c>
      <c r="Z225">
        <v>5.49</v>
      </c>
      <c r="AA225">
        <v>3.94</v>
      </c>
      <c r="AB225">
        <v>1.7</v>
      </c>
      <c r="AC225">
        <v>5.5</v>
      </c>
      <c r="AD225">
        <v>3.7</v>
      </c>
      <c r="AE225">
        <v>1.67</v>
      </c>
      <c r="AF225">
        <v>5.5</v>
      </c>
      <c r="AG225">
        <v>3.75</v>
      </c>
      <c r="AH225">
        <v>1.65</v>
      </c>
      <c r="AI225">
        <v>5.75</v>
      </c>
      <c r="AJ225">
        <v>4.09</v>
      </c>
      <c r="AK225">
        <v>1.72</v>
      </c>
      <c r="AL225">
        <v>5.26</v>
      </c>
      <c r="AM225">
        <v>3.88</v>
      </c>
      <c r="AN225">
        <v>1.67</v>
      </c>
      <c r="AO225">
        <v>1</v>
      </c>
      <c r="AP225">
        <v>0.17394658562940199</v>
      </c>
      <c r="AQ225">
        <v>0.24454593334207</v>
      </c>
      <c r="AR225">
        <v>0.58150748102852701</v>
      </c>
      <c r="AS225">
        <v>1</v>
      </c>
      <c r="AT225" s="2">
        <v>1.9286736906653999E-4</v>
      </c>
      <c r="AU225">
        <v>1.4348505247810699</v>
      </c>
      <c r="AV225">
        <f t="shared" si="20"/>
        <v>24666656.246503219</v>
      </c>
      <c r="AW225">
        <f t="shared" si="21"/>
        <v>4290680.6329734176</v>
      </c>
      <c r="AX225">
        <f t="shared" si="22"/>
        <v>6032130.4742291328</v>
      </c>
      <c r="AY225">
        <f t="shared" si="23"/>
        <v>14343845.13930067</v>
      </c>
      <c r="AZ225" cm="1">
        <f t="array" ref="AZ225">_xlfn.IFS(E225="H",AW225*AI225-AV225,E225="D",AX225*AJ225-AV225,E225="A",AY225*AK225-AV225)</f>
        <v>4757.39309393242</v>
      </c>
      <c r="BA225">
        <f t="shared" si="24"/>
        <v>2148163.0859439</v>
      </c>
    </row>
    <row r="226" spans="1:53" x14ac:dyDescent="0.2">
      <c r="A226">
        <v>23</v>
      </c>
      <c r="B226" t="s">
        <v>55</v>
      </c>
      <c r="C226" s="1">
        <v>44240</v>
      </c>
      <c r="D226" t="s">
        <v>378</v>
      </c>
      <c r="E226" t="s">
        <v>49</v>
      </c>
      <c r="F226" t="s">
        <v>161</v>
      </c>
      <c r="G226" t="s">
        <v>354</v>
      </c>
      <c r="H226" t="s">
        <v>256</v>
      </c>
      <c r="I226" t="s">
        <v>163</v>
      </c>
      <c r="J226" t="s">
        <v>307</v>
      </c>
      <c r="K226" t="s">
        <v>54</v>
      </c>
      <c r="L226">
        <v>2021</v>
      </c>
      <c r="M226">
        <v>3</v>
      </c>
      <c r="N226">
        <v>3</v>
      </c>
      <c r="O226">
        <v>1.5</v>
      </c>
      <c r="P226">
        <v>1.5</v>
      </c>
      <c r="Q226">
        <v>1.5</v>
      </c>
      <c r="R226">
        <v>3.9</v>
      </c>
      <c r="S226">
        <v>7.5</v>
      </c>
      <c r="T226">
        <v>1.53</v>
      </c>
      <c r="U226">
        <v>3.8</v>
      </c>
      <c r="V226">
        <v>7.75</v>
      </c>
      <c r="W226">
        <v>1.55</v>
      </c>
      <c r="X226">
        <v>3.9</v>
      </c>
      <c r="Y226">
        <v>6.75</v>
      </c>
      <c r="Z226">
        <v>1.55</v>
      </c>
      <c r="AA226">
        <v>4.0199999999999996</v>
      </c>
      <c r="AB226">
        <v>7.57</v>
      </c>
      <c r="AC226">
        <v>1.53</v>
      </c>
      <c r="AD226">
        <v>3.9</v>
      </c>
      <c r="AE226">
        <v>7</v>
      </c>
      <c r="AF226">
        <v>1.5</v>
      </c>
      <c r="AG226">
        <v>4</v>
      </c>
      <c r="AH226">
        <v>7</v>
      </c>
      <c r="AI226">
        <v>1.6</v>
      </c>
      <c r="AJ226">
        <v>4.1399999999999997</v>
      </c>
      <c r="AK226">
        <v>7.75</v>
      </c>
      <c r="AL226">
        <v>1.54</v>
      </c>
      <c r="AM226">
        <v>3.92</v>
      </c>
      <c r="AN226">
        <v>6.94</v>
      </c>
      <c r="AO226">
        <v>1</v>
      </c>
      <c r="AP226">
        <v>0.62777592987536401</v>
      </c>
      <c r="AQ226">
        <v>0.24261871686004399</v>
      </c>
      <c r="AR226">
        <v>0.12960535326459099</v>
      </c>
      <c r="AS226">
        <v>1</v>
      </c>
      <c r="AT226">
        <v>4.4414878005831701E-3</v>
      </c>
      <c r="AU226">
        <v>1.43929201258165</v>
      </c>
      <c r="AV226">
        <f t="shared" si="20"/>
        <v>26814819.332447119</v>
      </c>
      <c r="AW226">
        <f t="shared" si="21"/>
        <v>16833698.140866887</v>
      </c>
      <c r="AX226">
        <f t="shared" si="22"/>
        <v>6505777.0592722287</v>
      </c>
      <c r="AY226">
        <f t="shared" si="23"/>
        <v>3475344.132308003</v>
      </c>
      <c r="AZ226" cm="1">
        <f t="array" ref="AZ226">_xlfn.IFS(E226="H",AW226*AI226-AV226,E226="D",AX226*AJ226-AV226,E226="A",AY226*AK226-AV226)</f>
        <v>119097.69293989986</v>
      </c>
      <c r="BA226">
        <f t="shared" si="24"/>
        <v>2267260.7788837999</v>
      </c>
    </row>
    <row r="227" spans="1:53" x14ac:dyDescent="0.2">
      <c r="A227">
        <v>25</v>
      </c>
      <c r="B227" t="s">
        <v>55</v>
      </c>
      <c r="C227" s="1">
        <v>44240</v>
      </c>
      <c r="D227" t="s">
        <v>82</v>
      </c>
      <c r="E227" t="s">
        <v>49</v>
      </c>
      <c r="F227" t="s">
        <v>70</v>
      </c>
      <c r="G227" t="s">
        <v>104</v>
      </c>
      <c r="H227" t="s">
        <v>256</v>
      </c>
      <c r="I227" t="s">
        <v>333</v>
      </c>
      <c r="J227" t="s">
        <v>408</v>
      </c>
      <c r="K227" t="s">
        <v>54</v>
      </c>
      <c r="L227">
        <v>2021</v>
      </c>
      <c r="M227">
        <v>3</v>
      </c>
      <c r="N227">
        <v>3.3333333333333299</v>
      </c>
      <c r="O227">
        <v>1</v>
      </c>
      <c r="P227">
        <v>0.75</v>
      </c>
      <c r="Q227">
        <v>1.1599999999999999</v>
      </c>
      <c r="R227">
        <v>8</v>
      </c>
      <c r="S227">
        <v>13</v>
      </c>
      <c r="T227">
        <v>1.19</v>
      </c>
      <c r="U227">
        <v>7.5</v>
      </c>
      <c r="V227">
        <v>13.5</v>
      </c>
      <c r="W227">
        <v>1.22</v>
      </c>
      <c r="X227">
        <v>6.75</v>
      </c>
      <c r="Y227">
        <v>12</v>
      </c>
      <c r="Z227">
        <v>1.2</v>
      </c>
      <c r="AA227">
        <v>7.12</v>
      </c>
      <c r="AB227">
        <v>12.37</v>
      </c>
      <c r="AC227">
        <v>1.18</v>
      </c>
      <c r="AD227">
        <v>7</v>
      </c>
      <c r="AE227">
        <v>15</v>
      </c>
      <c r="AF227">
        <v>1.18</v>
      </c>
      <c r="AG227">
        <v>7.5</v>
      </c>
      <c r="AH227">
        <v>13</v>
      </c>
      <c r="AI227">
        <v>1.23</v>
      </c>
      <c r="AJ227">
        <v>8</v>
      </c>
      <c r="AK227">
        <v>16.5</v>
      </c>
      <c r="AL227">
        <v>1.2</v>
      </c>
      <c r="AM227">
        <v>7.17</v>
      </c>
      <c r="AN227">
        <v>12.48</v>
      </c>
      <c r="AO227">
        <v>1</v>
      </c>
      <c r="AP227">
        <v>0.81413636784161303</v>
      </c>
      <c r="AQ227">
        <v>0.12517346655564801</v>
      </c>
      <c r="AR227">
        <v>6.0690165602738398E-2</v>
      </c>
      <c r="AS227">
        <v>1</v>
      </c>
      <c r="AT227">
        <v>1.3877324451845299E-3</v>
      </c>
      <c r="AU227">
        <v>1.44067974502684</v>
      </c>
      <c r="AV227">
        <f t="shared" si="20"/>
        <v>29082080.111330919</v>
      </c>
      <c r="AW227">
        <f t="shared" si="21"/>
        <v>23676779.071117781</v>
      </c>
      <c r="AX227">
        <f t="shared" si="22"/>
        <v>3640304.7821843592</v>
      </c>
      <c r="AY227">
        <f t="shared" si="23"/>
        <v>1764996.2580287801</v>
      </c>
      <c r="AZ227" cm="1">
        <f t="array" ref="AZ227">_xlfn.IFS(E227="H",AW227*AI227-AV227,E227="D",AX227*AJ227-AV227,E227="A",AY227*AK227-AV227)</f>
        <v>40358.146143950522</v>
      </c>
      <c r="BA227">
        <f t="shared" si="24"/>
        <v>2307618.9250277504</v>
      </c>
    </row>
    <row r="228" spans="1:53" x14ac:dyDescent="0.2">
      <c r="A228">
        <v>24</v>
      </c>
      <c r="B228" t="s">
        <v>55</v>
      </c>
      <c r="C228" s="1">
        <v>44240</v>
      </c>
      <c r="D228" t="s">
        <v>409</v>
      </c>
      <c r="E228" t="s">
        <v>49</v>
      </c>
      <c r="F228" t="s">
        <v>153</v>
      </c>
      <c r="G228" t="s">
        <v>210</v>
      </c>
      <c r="H228" t="s">
        <v>256</v>
      </c>
      <c r="I228" t="s">
        <v>179</v>
      </c>
      <c r="J228" t="s">
        <v>129</v>
      </c>
      <c r="K228" t="s">
        <v>54</v>
      </c>
      <c r="L228">
        <v>2021</v>
      </c>
      <c r="M228">
        <v>2</v>
      </c>
      <c r="N228">
        <v>1.6666666666666601</v>
      </c>
      <c r="O228">
        <v>2</v>
      </c>
      <c r="P228">
        <v>2</v>
      </c>
      <c r="Q228">
        <v>3.5</v>
      </c>
      <c r="R228">
        <v>3.4</v>
      </c>
      <c r="S228">
        <v>2.1</v>
      </c>
      <c r="T228">
        <v>3.6</v>
      </c>
      <c r="U228">
        <v>3.5</v>
      </c>
      <c r="V228">
        <v>2.0499999999999998</v>
      </c>
      <c r="W228">
        <v>3.4</v>
      </c>
      <c r="X228">
        <v>3.45</v>
      </c>
      <c r="Y228">
        <v>2.15</v>
      </c>
      <c r="Z228">
        <v>3.5</v>
      </c>
      <c r="AA228">
        <v>3.53</v>
      </c>
      <c r="AB228">
        <v>2.2000000000000002</v>
      </c>
      <c r="AC228">
        <v>3.4</v>
      </c>
      <c r="AD228">
        <v>3.4</v>
      </c>
      <c r="AE228">
        <v>2.15</v>
      </c>
      <c r="AF228">
        <v>3.5</v>
      </c>
      <c r="AG228">
        <v>3.5</v>
      </c>
      <c r="AH228">
        <v>2.1</v>
      </c>
      <c r="AI228">
        <v>3.6</v>
      </c>
      <c r="AJ228">
        <v>3.66</v>
      </c>
      <c r="AK228">
        <v>2.2400000000000002</v>
      </c>
      <c r="AL228">
        <v>3.45</v>
      </c>
      <c r="AM228">
        <v>3.49</v>
      </c>
      <c r="AN228">
        <v>2.14</v>
      </c>
      <c r="AO228">
        <v>1</v>
      </c>
      <c r="AP228">
        <v>0.27849339638023801</v>
      </c>
      <c r="AQ228">
        <v>0.27392793086580702</v>
      </c>
      <c r="AR228">
        <v>0.44757867275395302</v>
      </c>
      <c r="AS228">
        <v>1</v>
      </c>
      <c r="AT228">
        <v>2.5762269688571699E-3</v>
      </c>
      <c r="AU228">
        <v>1.4432559719956899</v>
      </c>
      <c r="AV228">
        <f t="shared" si="20"/>
        <v>31389699.036358669</v>
      </c>
      <c r="AW228">
        <f t="shared" si="21"/>
        <v>8741823.895989012</v>
      </c>
      <c r="AX228">
        <f t="shared" si="22"/>
        <v>8598515.3075301759</v>
      </c>
      <c r="AY228">
        <f t="shared" si="23"/>
        <v>14049359.832839482</v>
      </c>
      <c r="AZ228" cm="1">
        <f t="array" ref="AZ228">_xlfn.IFS(E228="H",AW228*AI228-AV228,E228="D",AX228*AJ228-AV228,E228="A",AY228*AK228-AV228)</f>
        <v>80866.989201772958</v>
      </c>
      <c r="BA228">
        <f t="shared" si="24"/>
        <v>2388485.9142295234</v>
      </c>
    </row>
    <row r="229" spans="1:53" x14ac:dyDescent="0.2">
      <c r="A229">
        <v>22</v>
      </c>
      <c r="B229" t="s">
        <v>67</v>
      </c>
      <c r="C229" s="1">
        <v>44241</v>
      </c>
      <c r="D229" t="s">
        <v>121</v>
      </c>
      <c r="E229" t="s">
        <v>49</v>
      </c>
      <c r="F229" t="s">
        <v>108</v>
      </c>
      <c r="G229" t="s">
        <v>314</v>
      </c>
      <c r="H229" t="s">
        <v>256</v>
      </c>
      <c r="I229" t="s">
        <v>110</v>
      </c>
      <c r="J229" t="s">
        <v>276</v>
      </c>
      <c r="K229" t="s">
        <v>54</v>
      </c>
      <c r="L229">
        <v>2021</v>
      </c>
      <c r="M229">
        <v>2.5</v>
      </c>
      <c r="N229">
        <v>2.5</v>
      </c>
      <c r="O229">
        <v>1</v>
      </c>
      <c r="P229">
        <v>1.25</v>
      </c>
      <c r="Q229">
        <v>1.72</v>
      </c>
      <c r="R229">
        <v>3.8</v>
      </c>
      <c r="S229">
        <v>4.75</v>
      </c>
      <c r="T229">
        <v>1.7</v>
      </c>
      <c r="U229">
        <v>3.8</v>
      </c>
      <c r="V229">
        <v>5</v>
      </c>
      <c r="W229">
        <v>1.73</v>
      </c>
      <c r="X229">
        <v>3.9</v>
      </c>
      <c r="Y229">
        <v>4.7</v>
      </c>
      <c r="Z229">
        <v>1.73</v>
      </c>
      <c r="AA229">
        <v>4</v>
      </c>
      <c r="AB229">
        <v>5.0999999999999996</v>
      </c>
      <c r="AC229">
        <v>1.7</v>
      </c>
      <c r="AD229">
        <v>3.9</v>
      </c>
      <c r="AE229">
        <v>4.8</v>
      </c>
      <c r="AF229">
        <v>1.67</v>
      </c>
      <c r="AG229">
        <v>3.7</v>
      </c>
      <c r="AH229">
        <v>5</v>
      </c>
      <c r="AI229">
        <v>1.77</v>
      </c>
      <c r="AJ229">
        <v>4.18</v>
      </c>
      <c r="AK229">
        <v>5.18</v>
      </c>
      <c r="AL229">
        <v>1.72</v>
      </c>
      <c r="AM229">
        <v>3.85</v>
      </c>
      <c r="AN229">
        <v>4.8099999999999996</v>
      </c>
      <c r="AO229">
        <v>1</v>
      </c>
      <c r="AP229">
        <v>0.56652607562611801</v>
      </c>
      <c r="AQ229">
        <v>0.23989262054024599</v>
      </c>
      <c r="AR229">
        <v>0.193581303833635</v>
      </c>
      <c r="AS229">
        <v>1</v>
      </c>
      <c r="AT229">
        <v>2.7511538582296602E-3</v>
      </c>
      <c r="AU229">
        <v>1.44600712585392</v>
      </c>
      <c r="AV229">
        <f t="shared" si="20"/>
        <v>33778184.950588197</v>
      </c>
      <c r="AW229">
        <f t="shared" si="21"/>
        <v>19136222.561829947</v>
      </c>
      <c r="AX229">
        <f t="shared" si="22"/>
        <v>8103137.3048897162</v>
      </c>
      <c r="AY229">
        <f t="shared" si="23"/>
        <v>6538825.0838685343</v>
      </c>
      <c r="AZ229" cm="1">
        <f t="array" ref="AZ229">_xlfn.IFS(E229="H",AW229*AI229-AV229,E229="D",AX229*AJ229-AV229,E229="A",AY229*AK229-AV229)</f>
        <v>92928.983850806952</v>
      </c>
      <c r="BA229">
        <f t="shared" si="24"/>
        <v>2481414.8980803303</v>
      </c>
    </row>
    <row r="230" spans="1:53" x14ac:dyDescent="0.2">
      <c r="A230">
        <v>24</v>
      </c>
      <c r="B230" t="s">
        <v>67</v>
      </c>
      <c r="C230" s="1">
        <v>44241</v>
      </c>
      <c r="D230" t="s">
        <v>156</v>
      </c>
      <c r="E230" t="s">
        <v>74</v>
      </c>
      <c r="F230" t="s">
        <v>152</v>
      </c>
      <c r="G230" t="s">
        <v>404</v>
      </c>
      <c r="H230" t="s">
        <v>256</v>
      </c>
      <c r="I230" t="s">
        <v>154</v>
      </c>
      <c r="J230" t="s">
        <v>280</v>
      </c>
      <c r="K230" t="s">
        <v>54</v>
      </c>
      <c r="L230">
        <v>2021</v>
      </c>
      <c r="M230">
        <v>1</v>
      </c>
      <c r="N230">
        <v>0.66666666666666596</v>
      </c>
      <c r="O230">
        <v>0.66666666666666596</v>
      </c>
      <c r="P230">
        <v>1</v>
      </c>
      <c r="Q230">
        <v>2.37</v>
      </c>
      <c r="R230">
        <v>3.2</v>
      </c>
      <c r="S230">
        <v>3.1</v>
      </c>
      <c r="T230">
        <v>2.4500000000000002</v>
      </c>
      <c r="U230">
        <v>3.2</v>
      </c>
      <c r="V230">
        <v>3</v>
      </c>
      <c r="W230">
        <v>2.4</v>
      </c>
      <c r="X230">
        <v>3.2</v>
      </c>
      <c r="Y230">
        <v>3.1</v>
      </c>
      <c r="Z230">
        <v>2.44</v>
      </c>
      <c r="AA230">
        <v>3.28</v>
      </c>
      <c r="AB230">
        <v>3.25</v>
      </c>
      <c r="AC230">
        <v>2.4500000000000002</v>
      </c>
      <c r="AD230">
        <v>3.1</v>
      </c>
      <c r="AE230">
        <v>3.1</v>
      </c>
      <c r="AF230">
        <v>2.4500000000000002</v>
      </c>
      <c r="AG230">
        <v>3.13</v>
      </c>
      <c r="AH230">
        <v>3.1</v>
      </c>
      <c r="AI230">
        <v>2.56</v>
      </c>
      <c r="AJ230">
        <v>3.36</v>
      </c>
      <c r="AK230">
        <v>3.28</v>
      </c>
      <c r="AL230">
        <v>2.42</v>
      </c>
      <c r="AM230">
        <v>3.21</v>
      </c>
      <c r="AN230">
        <v>3.12</v>
      </c>
      <c r="AO230">
        <v>1</v>
      </c>
      <c r="AP230">
        <v>0.393330287802649</v>
      </c>
      <c r="AQ230">
        <v>0.29968021927820898</v>
      </c>
      <c r="AR230">
        <v>0.30698949291914102</v>
      </c>
      <c r="AS230">
        <v>1</v>
      </c>
      <c r="AT230">
        <v>6.9255367747829101E-3</v>
      </c>
      <c r="AU230">
        <v>1.45293266262871</v>
      </c>
      <c r="AV230">
        <f t="shared" si="20"/>
        <v>36259599.848668531</v>
      </c>
      <c r="AW230">
        <f t="shared" si="21"/>
        <v>14261998.844085705</v>
      </c>
      <c r="AX230">
        <f t="shared" si="22"/>
        <v>10866284.833589107</v>
      </c>
      <c r="AY230">
        <f t="shared" si="23"/>
        <v>11131316.170993719</v>
      </c>
      <c r="AZ230" cm="1">
        <f t="array" ref="AZ230">_xlfn.IFS(E230="H",AW230*AI230-AV230,E230="D",AX230*AJ230-AV230,E230="A",AY230*AK230-AV230)</f>
        <v>251117.19219086319</v>
      </c>
      <c r="BA230">
        <f t="shared" si="24"/>
        <v>2732532.0902711935</v>
      </c>
    </row>
    <row r="231" spans="1:53" x14ac:dyDescent="0.2">
      <c r="A231">
        <v>23</v>
      </c>
      <c r="B231" t="s">
        <v>198</v>
      </c>
      <c r="C231" s="1">
        <v>44242</v>
      </c>
      <c r="D231" t="s">
        <v>68</v>
      </c>
      <c r="E231" t="s">
        <v>74</v>
      </c>
      <c r="F231" t="s">
        <v>382</v>
      </c>
      <c r="G231" t="s">
        <v>311</v>
      </c>
      <c r="H231" t="s">
        <v>256</v>
      </c>
      <c r="I231" t="s">
        <v>383</v>
      </c>
      <c r="J231" t="s">
        <v>391</v>
      </c>
      <c r="K231" t="s">
        <v>54</v>
      </c>
      <c r="L231">
        <v>2021</v>
      </c>
      <c r="M231">
        <v>1.3333333333333299</v>
      </c>
      <c r="N231">
        <v>2.3333333333333299</v>
      </c>
      <c r="O231">
        <v>0</v>
      </c>
      <c r="P231">
        <v>1</v>
      </c>
      <c r="Q231">
        <v>4</v>
      </c>
      <c r="R231">
        <v>3.1</v>
      </c>
      <c r="S231">
        <v>2.0499999999999998</v>
      </c>
      <c r="T231">
        <v>3.9</v>
      </c>
      <c r="U231">
        <v>3</v>
      </c>
      <c r="V231">
        <v>2.15</v>
      </c>
      <c r="W231">
        <v>3.85</v>
      </c>
      <c r="X231">
        <v>3.15</v>
      </c>
      <c r="Y231">
        <v>2.1</v>
      </c>
      <c r="Z231">
        <v>4.03</v>
      </c>
      <c r="AA231">
        <v>3.31</v>
      </c>
      <c r="AB231">
        <v>2.12</v>
      </c>
      <c r="AC231">
        <v>3.75</v>
      </c>
      <c r="AD231">
        <v>3.1</v>
      </c>
      <c r="AE231">
        <v>2.15</v>
      </c>
      <c r="AF231">
        <v>3.9</v>
      </c>
      <c r="AG231">
        <v>3.1</v>
      </c>
      <c r="AH231">
        <v>2.1</v>
      </c>
      <c r="AI231">
        <v>4.0999999999999996</v>
      </c>
      <c r="AJ231">
        <v>3.31</v>
      </c>
      <c r="AK231">
        <v>2.21</v>
      </c>
      <c r="AL231">
        <v>3.86</v>
      </c>
      <c r="AM231">
        <v>3.15</v>
      </c>
      <c r="AN231">
        <v>2.11</v>
      </c>
      <c r="AO231">
        <v>1</v>
      </c>
      <c r="AP231">
        <v>0.24426739150034499</v>
      </c>
      <c r="AQ231">
        <v>0.30256685956236101</v>
      </c>
      <c r="AR231">
        <v>0.453165748937292</v>
      </c>
      <c r="AS231">
        <v>1</v>
      </c>
      <c r="AT231">
        <v>1.49630515141696E-3</v>
      </c>
      <c r="AU231">
        <v>1.4544289677801201</v>
      </c>
      <c r="AV231">
        <f t="shared" si="20"/>
        <v>38992131.93893972</v>
      </c>
      <c r="AW231">
        <f t="shared" si="21"/>
        <v>9524506.3577621207</v>
      </c>
      <c r="AX231">
        <f t="shared" si="22"/>
        <v>11797726.908406248</v>
      </c>
      <c r="AY231">
        <f t="shared" si="23"/>
        <v>17669898.672771353</v>
      </c>
      <c r="AZ231" cm="1">
        <f t="array" ref="AZ231">_xlfn.IFS(E231="H",AW231*AI231-AV231,E231="D",AX231*AJ231-AV231,E231="A",AY231*AK231-AV231)</f>
        <v>58344.127884969115</v>
      </c>
      <c r="BA231">
        <f t="shared" si="24"/>
        <v>2790876.2181561626</v>
      </c>
    </row>
    <row r="232" spans="1:53" x14ac:dyDescent="0.2">
      <c r="A232">
        <v>24</v>
      </c>
      <c r="B232" t="s">
        <v>198</v>
      </c>
      <c r="C232" s="1">
        <v>44242</v>
      </c>
      <c r="D232" t="s">
        <v>151</v>
      </c>
      <c r="E232" t="s">
        <v>49</v>
      </c>
      <c r="F232" t="s">
        <v>91</v>
      </c>
      <c r="G232" t="s">
        <v>248</v>
      </c>
      <c r="H232" t="s">
        <v>256</v>
      </c>
      <c r="I232" t="s">
        <v>93</v>
      </c>
      <c r="J232" t="s">
        <v>350</v>
      </c>
      <c r="K232" t="s">
        <v>54</v>
      </c>
      <c r="L232">
        <v>2021</v>
      </c>
      <c r="M232">
        <v>1.3333333333333299</v>
      </c>
      <c r="N232">
        <v>1</v>
      </c>
      <c r="O232">
        <v>0.75</v>
      </c>
      <c r="P232">
        <v>0.5</v>
      </c>
      <c r="Q232">
        <v>1.22</v>
      </c>
      <c r="R232">
        <v>6.5</v>
      </c>
      <c r="S232">
        <v>12</v>
      </c>
      <c r="T232">
        <v>1.22</v>
      </c>
      <c r="U232">
        <v>6.75</v>
      </c>
      <c r="V232">
        <v>12</v>
      </c>
      <c r="W232">
        <v>1.25</v>
      </c>
      <c r="X232">
        <v>6.25</v>
      </c>
      <c r="Y232">
        <v>13</v>
      </c>
      <c r="Z232">
        <v>1.26</v>
      </c>
      <c r="AA232">
        <v>6.85</v>
      </c>
      <c r="AB232">
        <v>11.46</v>
      </c>
      <c r="AC232">
        <v>1.25</v>
      </c>
      <c r="AD232">
        <v>6</v>
      </c>
      <c r="AE232">
        <v>12</v>
      </c>
      <c r="AF232">
        <v>1.29</v>
      </c>
      <c r="AG232">
        <v>5.5</v>
      </c>
      <c r="AH232">
        <v>11.5</v>
      </c>
      <c r="AI232">
        <v>1.29</v>
      </c>
      <c r="AJ232">
        <v>6.9</v>
      </c>
      <c r="AK232">
        <v>13.75</v>
      </c>
      <c r="AL232">
        <v>1.24</v>
      </c>
      <c r="AM232">
        <v>6.36</v>
      </c>
      <c r="AN232">
        <v>11.97</v>
      </c>
      <c r="AO232">
        <v>1</v>
      </c>
      <c r="AP232">
        <v>0.78077744448147701</v>
      </c>
      <c r="AQ232">
        <v>0.14597143527262399</v>
      </c>
      <c r="AR232">
        <v>7.3251120245898596E-2</v>
      </c>
      <c r="AS232">
        <v>1</v>
      </c>
      <c r="AT232">
        <v>7.2029033811058501E-3</v>
      </c>
      <c r="AU232">
        <v>1.4616318711612299</v>
      </c>
      <c r="AV232">
        <f t="shared" si="20"/>
        <v>41783008.157095879</v>
      </c>
      <c r="AW232">
        <f t="shared" si="21"/>
        <v>32623230.331646044</v>
      </c>
      <c r="AX232">
        <f t="shared" si="22"/>
        <v>6099125.6706990432</v>
      </c>
      <c r="AY232">
        <f t="shared" si="23"/>
        <v>3060652.1547507923</v>
      </c>
      <c r="AZ232" cm="1">
        <f t="array" ref="AZ232">_xlfn.IFS(E232="H",AW232*AI232-AV232,E232="D",AX232*AJ232-AV232,E232="A",AY232*AK232-AV232)</f>
        <v>300958.9707275182</v>
      </c>
      <c r="BA232">
        <f t="shared" si="24"/>
        <v>3091835.1888836809</v>
      </c>
    </row>
    <row r="233" spans="1:53" x14ac:dyDescent="0.2">
      <c r="A233">
        <v>24</v>
      </c>
      <c r="B233" t="s">
        <v>47</v>
      </c>
      <c r="C233" s="1">
        <v>44246</v>
      </c>
      <c r="D233" t="s">
        <v>68</v>
      </c>
      <c r="E233" t="s">
        <v>49</v>
      </c>
      <c r="F233" t="s">
        <v>236</v>
      </c>
      <c r="G233" t="s">
        <v>162</v>
      </c>
      <c r="H233" t="s">
        <v>256</v>
      </c>
      <c r="I233" t="s">
        <v>306</v>
      </c>
      <c r="J233" t="s">
        <v>272</v>
      </c>
      <c r="K233" t="s">
        <v>54</v>
      </c>
      <c r="L233">
        <v>2021</v>
      </c>
      <c r="M233">
        <v>1.75</v>
      </c>
      <c r="N233">
        <v>1.5</v>
      </c>
      <c r="O233">
        <v>0.75</v>
      </c>
      <c r="P233">
        <v>1</v>
      </c>
      <c r="Q233">
        <v>2.0499999999999998</v>
      </c>
      <c r="R233">
        <v>3.1</v>
      </c>
      <c r="S233">
        <v>4.0999999999999996</v>
      </c>
      <c r="T233">
        <v>2.0499999999999998</v>
      </c>
      <c r="U233">
        <v>3</v>
      </c>
      <c r="V233">
        <v>4.33</v>
      </c>
      <c r="W233">
        <v>2.0499999999999998</v>
      </c>
      <c r="X233">
        <v>3.1</v>
      </c>
      <c r="Y233">
        <v>4.2</v>
      </c>
      <c r="Z233">
        <v>2.0499999999999998</v>
      </c>
      <c r="AA233">
        <v>3.26</v>
      </c>
      <c r="AB233">
        <v>4.38</v>
      </c>
      <c r="AC233">
        <v>2</v>
      </c>
      <c r="AD233">
        <v>3.1</v>
      </c>
      <c r="AE233">
        <v>4.33</v>
      </c>
      <c r="AF233">
        <v>2</v>
      </c>
      <c r="AG233">
        <v>3.25</v>
      </c>
      <c r="AH233">
        <v>4</v>
      </c>
      <c r="AI233">
        <v>2.12</v>
      </c>
      <c r="AJ233">
        <v>3.26</v>
      </c>
      <c r="AK233">
        <v>4.54</v>
      </c>
      <c r="AL233">
        <v>2.04</v>
      </c>
      <c r="AM233">
        <v>3.14</v>
      </c>
      <c r="AN233">
        <v>4.22</v>
      </c>
      <c r="AO233">
        <v>1</v>
      </c>
      <c r="AP233">
        <v>0.47230696570122899</v>
      </c>
      <c r="AQ233">
        <v>0.30714440714313002</v>
      </c>
      <c r="AR233">
        <v>0.22054862715564</v>
      </c>
      <c r="AS233">
        <v>1</v>
      </c>
      <c r="AT233">
        <v>1.2907672866060401E-3</v>
      </c>
      <c r="AU233">
        <v>1.46292263844784</v>
      </c>
      <c r="AV233">
        <f t="shared" si="20"/>
        <v>44874843.345979556</v>
      </c>
      <c r="AW233">
        <f t="shared" si="21"/>
        <v>21194701.097057603</v>
      </c>
      <c r="AX233">
        <f t="shared" si="22"/>
        <v>13783057.155141754</v>
      </c>
      <c r="AY233">
        <f t="shared" si="23"/>
        <v>9897085.0937802028</v>
      </c>
      <c r="AZ233" cm="1">
        <f t="array" ref="AZ233">_xlfn.IFS(E233="H",AW233*AI233-AV233,E233="D",AX233*AJ233-AV233,E233="A",AY233*AK233-AV233)</f>
        <v>57922.979782566428</v>
      </c>
      <c r="BA233">
        <f t="shared" si="24"/>
        <v>3149758.1686662473</v>
      </c>
    </row>
    <row r="234" spans="1:53" x14ac:dyDescent="0.2">
      <c r="A234">
        <v>24</v>
      </c>
      <c r="B234" t="s">
        <v>198</v>
      </c>
      <c r="C234" s="1">
        <v>44249</v>
      </c>
      <c r="D234" t="s">
        <v>68</v>
      </c>
      <c r="E234" t="s">
        <v>74</v>
      </c>
      <c r="F234" t="s">
        <v>86</v>
      </c>
      <c r="G234" t="s">
        <v>161</v>
      </c>
      <c r="H234" t="s">
        <v>256</v>
      </c>
      <c r="I234" t="s">
        <v>88</v>
      </c>
      <c r="J234" t="s">
        <v>168</v>
      </c>
      <c r="K234" t="s">
        <v>54</v>
      </c>
      <c r="L234">
        <v>2021</v>
      </c>
      <c r="M234">
        <v>2.3333333333333299</v>
      </c>
      <c r="N234">
        <v>1.6666666666666601</v>
      </c>
      <c r="O234">
        <v>1.75</v>
      </c>
      <c r="P234">
        <v>1.25</v>
      </c>
      <c r="Q234">
        <v>4</v>
      </c>
      <c r="R234">
        <v>3.3</v>
      </c>
      <c r="S234">
        <v>2</v>
      </c>
      <c r="T234">
        <v>4.5</v>
      </c>
      <c r="U234">
        <v>3.3</v>
      </c>
      <c r="V234">
        <v>1.9</v>
      </c>
      <c r="W234">
        <v>4.3</v>
      </c>
      <c r="X234">
        <v>3.25</v>
      </c>
      <c r="Y234">
        <v>1.95</v>
      </c>
      <c r="Z234">
        <v>4.63</v>
      </c>
      <c r="AA234">
        <v>3.26</v>
      </c>
      <c r="AB234">
        <v>2</v>
      </c>
      <c r="AC234">
        <v>4.4000000000000004</v>
      </c>
      <c r="AD234">
        <v>3.25</v>
      </c>
      <c r="AE234">
        <v>1.95</v>
      </c>
      <c r="AF234">
        <v>4.0999999999999996</v>
      </c>
      <c r="AG234">
        <v>3.3</v>
      </c>
      <c r="AH234">
        <v>1.95</v>
      </c>
      <c r="AI234">
        <v>4.7</v>
      </c>
      <c r="AJ234">
        <v>3.5</v>
      </c>
      <c r="AK234">
        <v>2.02</v>
      </c>
      <c r="AL234">
        <v>4.3</v>
      </c>
      <c r="AM234">
        <v>3.26</v>
      </c>
      <c r="AN234">
        <v>1.96</v>
      </c>
      <c r="AO234">
        <v>1</v>
      </c>
      <c r="AP234">
        <v>0.214151572060338</v>
      </c>
      <c r="AQ234">
        <v>0.28757496819531098</v>
      </c>
      <c r="AR234">
        <v>0.49827345974435</v>
      </c>
      <c r="AS234">
        <v>1</v>
      </c>
      <c r="AT234">
        <v>6.5123886835887204E-3</v>
      </c>
      <c r="AU234">
        <v>1.46943502713142</v>
      </c>
      <c r="AV234">
        <f t="shared" si="20"/>
        <v>48024601.5146458</v>
      </c>
      <c r="AW234">
        <f t="shared" si="21"/>
        <v>10284543.91193269</v>
      </c>
      <c r="AX234">
        <f t="shared" si="22"/>
        <v>13810673.253166756</v>
      </c>
      <c r="AY234">
        <f t="shared" si="23"/>
        <v>23929384.349546354</v>
      </c>
      <c r="AZ234" cm="1">
        <f t="array" ref="AZ234">_xlfn.IFS(E234="H",AW234*AI234-AV234,E234="D",AX234*AJ234-AV234,E234="A",AY234*AK234-AV234)</f>
        <v>312754.87143783271</v>
      </c>
      <c r="BA234">
        <f t="shared" si="24"/>
        <v>3462513.04010408</v>
      </c>
    </row>
    <row r="235" spans="1:53" x14ac:dyDescent="0.2">
      <c r="A235">
        <v>24</v>
      </c>
      <c r="B235" t="s">
        <v>67</v>
      </c>
      <c r="C235" s="1">
        <v>44255</v>
      </c>
      <c r="D235" t="s">
        <v>121</v>
      </c>
      <c r="E235" t="s">
        <v>74</v>
      </c>
      <c r="F235" t="s">
        <v>278</v>
      </c>
      <c r="G235" t="s">
        <v>195</v>
      </c>
      <c r="H235" t="s">
        <v>256</v>
      </c>
      <c r="I235" t="s">
        <v>275</v>
      </c>
      <c r="J235" t="s">
        <v>410</v>
      </c>
      <c r="K235" t="s">
        <v>54</v>
      </c>
      <c r="L235">
        <v>2021</v>
      </c>
      <c r="M235">
        <v>2.25</v>
      </c>
      <c r="N235">
        <v>1.5</v>
      </c>
      <c r="O235">
        <v>2.5</v>
      </c>
      <c r="P235">
        <v>2.25</v>
      </c>
      <c r="Q235">
        <v>5</v>
      </c>
      <c r="R235">
        <v>4</v>
      </c>
      <c r="S235">
        <v>1.61</v>
      </c>
      <c r="T235">
        <v>5</v>
      </c>
      <c r="U235">
        <v>4</v>
      </c>
      <c r="V235">
        <v>1.67</v>
      </c>
      <c r="W235">
        <v>4.8</v>
      </c>
      <c r="X235">
        <v>4.0999999999999996</v>
      </c>
      <c r="Y235">
        <v>1.67</v>
      </c>
      <c r="Z235">
        <v>5.31</v>
      </c>
      <c r="AA235">
        <v>4.08</v>
      </c>
      <c r="AB235">
        <v>1.69</v>
      </c>
      <c r="AC235">
        <v>5.25</v>
      </c>
      <c r="AD235">
        <v>3.8</v>
      </c>
      <c r="AE235">
        <v>1.67</v>
      </c>
      <c r="AF235">
        <v>5</v>
      </c>
      <c r="AG235">
        <v>3.9</v>
      </c>
      <c r="AH235">
        <v>1.65</v>
      </c>
      <c r="AI235">
        <v>5.4</v>
      </c>
      <c r="AJ235">
        <v>4.5</v>
      </c>
      <c r="AK235">
        <v>1.72</v>
      </c>
      <c r="AL235">
        <v>5.0199999999999996</v>
      </c>
      <c r="AM235">
        <v>4.04</v>
      </c>
      <c r="AN235">
        <v>1.66</v>
      </c>
      <c r="AO235">
        <v>1</v>
      </c>
      <c r="AP235">
        <v>0.18728222996515601</v>
      </c>
      <c r="AQ235">
        <v>0.224738675958188</v>
      </c>
      <c r="AR235">
        <v>0.58797909407665505</v>
      </c>
      <c r="AS235">
        <v>1</v>
      </c>
      <c r="AT235">
        <v>1.1324041811846699E-2</v>
      </c>
      <c r="AU235">
        <v>1.4807590689432699</v>
      </c>
      <c r="AV235">
        <f t="shared" si="20"/>
        <v>51487114.554749876</v>
      </c>
      <c r="AW235">
        <f t="shared" si="21"/>
        <v>9642621.6282850374</v>
      </c>
      <c r="AX235">
        <f t="shared" si="22"/>
        <v>11571145.953942046</v>
      </c>
      <c r="AY235">
        <f t="shared" si="23"/>
        <v>30273346.972522795</v>
      </c>
      <c r="AZ235" cm="1">
        <f t="array" ref="AZ235">_xlfn.IFS(E235="H",AW235*AI235-AV235,E235="D",AX235*AJ235-AV235,E235="A",AY235*AK235-AV235)</f>
        <v>583042.2379893288</v>
      </c>
      <c r="BA235">
        <f t="shared" si="24"/>
        <v>4045555.2780934088</v>
      </c>
    </row>
    <row r="236" spans="1:53" x14ac:dyDescent="0.2">
      <c r="A236">
        <v>24</v>
      </c>
      <c r="B236" t="s">
        <v>67</v>
      </c>
      <c r="C236" s="1">
        <v>44255</v>
      </c>
      <c r="D236" t="s">
        <v>183</v>
      </c>
      <c r="E236" t="s">
        <v>74</v>
      </c>
      <c r="F236" t="s">
        <v>376</v>
      </c>
      <c r="G236" t="s">
        <v>141</v>
      </c>
      <c r="H236" t="s">
        <v>256</v>
      </c>
      <c r="I236" t="s">
        <v>392</v>
      </c>
      <c r="J236" t="s">
        <v>189</v>
      </c>
      <c r="K236" t="s">
        <v>54</v>
      </c>
      <c r="L236">
        <v>2021</v>
      </c>
      <c r="M236">
        <v>0.75</v>
      </c>
      <c r="N236">
        <v>1.5</v>
      </c>
      <c r="O236">
        <v>0</v>
      </c>
      <c r="P236">
        <v>0</v>
      </c>
      <c r="Q236">
        <v>3.3</v>
      </c>
      <c r="R236">
        <v>3.6</v>
      </c>
      <c r="S236">
        <v>2.1</v>
      </c>
      <c r="T236">
        <v>3.3</v>
      </c>
      <c r="U236">
        <v>3.7</v>
      </c>
      <c r="V236">
        <v>2.1</v>
      </c>
      <c r="W236">
        <v>3.25</v>
      </c>
      <c r="X236">
        <v>3.6</v>
      </c>
      <c r="Y236">
        <v>2.15</v>
      </c>
      <c r="Z236">
        <v>3.31</v>
      </c>
      <c r="AA236">
        <v>3.74</v>
      </c>
      <c r="AB236">
        <v>2.21</v>
      </c>
      <c r="AC236">
        <v>3.3</v>
      </c>
      <c r="AD236">
        <v>3.5</v>
      </c>
      <c r="AE236">
        <v>2.15</v>
      </c>
      <c r="AF236">
        <v>3.5</v>
      </c>
      <c r="AG236">
        <v>3.3</v>
      </c>
      <c r="AH236">
        <v>2.1</v>
      </c>
      <c r="AI236">
        <v>3.5</v>
      </c>
      <c r="AJ236">
        <v>3.76</v>
      </c>
      <c r="AK236">
        <v>2.38</v>
      </c>
      <c r="AL236">
        <v>3.27</v>
      </c>
      <c r="AM236">
        <v>3.61</v>
      </c>
      <c r="AN236">
        <v>2.14</v>
      </c>
      <c r="AO236">
        <v>1</v>
      </c>
      <c r="AP236">
        <v>0.29399319289853698</v>
      </c>
      <c r="AQ236">
        <v>0.27366387636831901</v>
      </c>
      <c r="AR236">
        <v>0.432342930733143</v>
      </c>
      <c r="AS236">
        <v>1</v>
      </c>
      <c r="AT236">
        <v>2.8976175144880899E-2</v>
      </c>
      <c r="AU236">
        <v>1.50973524408815</v>
      </c>
      <c r="AV236">
        <f t="shared" si="20"/>
        <v>55532669.832843289</v>
      </c>
      <c r="AW236">
        <f t="shared" si="21"/>
        <v>16326226.914337885</v>
      </c>
      <c r="AX236">
        <f t="shared" si="22"/>
        <v>15197285.691537924</v>
      </c>
      <c r="AY236">
        <f t="shared" si="23"/>
        <v>24009157.226967476</v>
      </c>
      <c r="AZ236" cm="1">
        <f t="array" ref="AZ236">_xlfn.IFS(E236="H",AW236*AI236-AV236,E236="D",AX236*AJ236-AV236,E236="A",AY236*AK236-AV236)</f>
        <v>1609124.3673393056</v>
      </c>
      <c r="BA236">
        <f t="shared" si="24"/>
        <v>5654679.6454327144</v>
      </c>
    </row>
    <row r="237" spans="1:53" x14ac:dyDescent="0.2">
      <c r="A237">
        <v>26</v>
      </c>
      <c r="B237" t="s">
        <v>67</v>
      </c>
      <c r="C237" s="1">
        <v>44255</v>
      </c>
      <c r="D237" t="s">
        <v>125</v>
      </c>
      <c r="E237" t="s">
        <v>49</v>
      </c>
      <c r="F237" t="s">
        <v>227</v>
      </c>
      <c r="G237" t="s">
        <v>249</v>
      </c>
      <c r="H237" t="s">
        <v>256</v>
      </c>
      <c r="I237" t="s">
        <v>228</v>
      </c>
      <c r="J237" t="s">
        <v>103</v>
      </c>
      <c r="K237" t="s">
        <v>54</v>
      </c>
      <c r="L237">
        <v>2021</v>
      </c>
      <c r="M237">
        <v>1</v>
      </c>
      <c r="N237">
        <v>1</v>
      </c>
      <c r="O237">
        <v>1.5</v>
      </c>
      <c r="P237">
        <v>1</v>
      </c>
      <c r="Q237">
        <v>1.53</v>
      </c>
      <c r="R237">
        <v>4</v>
      </c>
      <c r="S237">
        <v>6.5</v>
      </c>
      <c r="T237">
        <v>1.55</v>
      </c>
      <c r="U237">
        <v>3.9</v>
      </c>
      <c r="V237">
        <v>6.75</v>
      </c>
      <c r="W237">
        <v>1.55</v>
      </c>
      <c r="X237">
        <v>4.0999999999999996</v>
      </c>
      <c r="Y237">
        <v>6.25</v>
      </c>
      <c r="Z237">
        <v>1.56</v>
      </c>
      <c r="AA237">
        <v>4.0999999999999996</v>
      </c>
      <c r="AB237">
        <v>7.22</v>
      </c>
      <c r="AC237">
        <v>1.55</v>
      </c>
      <c r="AD237">
        <v>3.9</v>
      </c>
      <c r="AE237">
        <v>7</v>
      </c>
      <c r="AF237">
        <v>1.53</v>
      </c>
      <c r="AG237">
        <v>4.0999999999999996</v>
      </c>
      <c r="AH237">
        <v>6.5</v>
      </c>
      <c r="AI237">
        <v>1.6</v>
      </c>
      <c r="AJ237">
        <v>4.3499999999999996</v>
      </c>
      <c r="AK237">
        <v>7.22</v>
      </c>
      <c r="AL237">
        <v>1.55</v>
      </c>
      <c r="AM237">
        <v>4.04</v>
      </c>
      <c r="AN237">
        <v>6.66</v>
      </c>
      <c r="AO237">
        <v>1</v>
      </c>
      <c r="AP237">
        <v>0.62915923796550399</v>
      </c>
      <c r="AQ237">
        <v>0.23141489212524199</v>
      </c>
      <c r="AR237">
        <v>0.13942586990925299</v>
      </c>
      <c r="AS237">
        <v>1</v>
      </c>
      <c r="AT237">
        <v>6.6547807448065202E-3</v>
      </c>
      <c r="AU237">
        <v>1.51639002483296</v>
      </c>
      <c r="AV237">
        <f t="shared" si="20"/>
        <v>61187349.478275999</v>
      </c>
      <c r="AW237">
        <f t="shared" si="21"/>
        <v>38496586.170881115</v>
      </c>
      <c r="AX237">
        <f t="shared" si="22"/>
        <v>14159663.878944779</v>
      </c>
      <c r="AY237">
        <f t="shared" si="23"/>
        <v>8531099.4284501094</v>
      </c>
      <c r="AZ237" cm="1">
        <f t="array" ref="AZ237">_xlfn.IFS(E237="H",AW237*AI237-AV237,E237="D",AX237*AJ237-AV237,E237="A",AY237*AK237-AV237)</f>
        <v>407188.3951337859</v>
      </c>
      <c r="BA237">
        <f t="shared" si="24"/>
        <v>6061868.0405665003</v>
      </c>
    </row>
    <row r="238" spans="1:53" x14ac:dyDescent="0.2">
      <c r="A238">
        <v>25</v>
      </c>
      <c r="B238" t="s">
        <v>202</v>
      </c>
      <c r="C238" s="1">
        <v>44258</v>
      </c>
      <c r="D238" t="s">
        <v>190</v>
      </c>
      <c r="E238" t="s">
        <v>57</v>
      </c>
      <c r="F238" t="s">
        <v>109</v>
      </c>
      <c r="G238" t="s">
        <v>303</v>
      </c>
      <c r="H238" t="s">
        <v>256</v>
      </c>
      <c r="I238" t="s">
        <v>123</v>
      </c>
      <c r="J238" t="s">
        <v>411</v>
      </c>
      <c r="K238" t="s">
        <v>54</v>
      </c>
      <c r="L238">
        <v>2021</v>
      </c>
      <c r="M238">
        <v>1.25</v>
      </c>
      <c r="N238">
        <v>1.25</v>
      </c>
      <c r="O238">
        <v>0.75</v>
      </c>
      <c r="P238">
        <v>1.5</v>
      </c>
      <c r="Q238">
        <v>3.6</v>
      </c>
      <c r="R238">
        <v>3.5</v>
      </c>
      <c r="S238">
        <v>2.0499999999999998</v>
      </c>
      <c r="T238">
        <v>3.6</v>
      </c>
      <c r="U238">
        <v>3.5</v>
      </c>
      <c r="V238">
        <v>2.0499999999999998</v>
      </c>
      <c r="W238">
        <v>3.45</v>
      </c>
      <c r="X238">
        <v>3.6</v>
      </c>
      <c r="Y238">
        <v>2.1</v>
      </c>
      <c r="Z238">
        <v>3.66</v>
      </c>
      <c r="AA238">
        <v>3.51</v>
      </c>
      <c r="AB238">
        <v>2.15</v>
      </c>
      <c r="AC238">
        <v>3.6</v>
      </c>
      <c r="AD238">
        <v>3.4</v>
      </c>
      <c r="AE238">
        <v>2.1</v>
      </c>
      <c r="AF238">
        <v>3.5</v>
      </c>
      <c r="AG238">
        <v>3.5</v>
      </c>
      <c r="AH238">
        <v>2.0499999999999998</v>
      </c>
      <c r="AI238">
        <v>3.81</v>
      </c>
      <c r="AJ238">
        <v>3.72</v>
      </c>
      <c r="AK238">
        <v>2.19</v>
      </c>
      <c r="AL238">
        <v>3.56</v>
      </c>
      <c r="AM238">
        <v>3.49</v>
      </c>
      <c r="AN238">
        <v>2.08</v>
      </c>
      <c r="AO238">
        <v>1</v>
      </c>
      <c r="AP238">
        <v>0.265680490739925</v>
      </c>
      <c r="AQ238">
        <v>0.27210824454814903</v>
      </c>
      <c r="AR238">
        <v>0.46221126471192497</v>
      </c>
      <c r="AS238">
        <v>0.999999999999999</v>
      </c>
      <c r="AT238">
        <v>1.2242669719115799E-2</v>
      </c>
      <c r="AU238">
        <v>1.5286326945520701</v>
      </c>
      <c r="AV238">
        <f t="shared" si="20"/>
        <v>67249217.518842503</v>
      </c>
      <c r="AW238">
        <f t="shared" si="21"/>
        <v>17866805.112282068</v>
      </c>
      <c r="AX238">
        <f t="shared" si="22"/>
        <v>18299066.526288893</v>
      </c>
      <c r="AY238">
        <f t="shared" si="23"/>
        <v>31083345.880271543</v>
      </c>
      <c r="AZ238" cm="1">
        <f t="array" ref="AZ238">_xlfn.IFS(E238="H",AW238*AI238-AV238,E238="D",AX238*AJ238-AV238,E238="A",AY238*AK238-AV238)</f>
        <v>823309.95895218849</v>
      </c>
      <c r="BA238">
        <f t="shared" si="24"/>
        <v>6885177.9995186888</v>
      </c>
    </row>
    <row r="239" spans="1:53" x14ac:dyDescent="0.2">
      <c r="A239">
        <v>29</v>
      </c>
      <c r="B239" t="s">
        <v>202</v>
      </c>
      <c r="C239" s="1">
        <v>44258</v>
      </c>
      <c r="D239" t="s">
        <v>254</v>
      </c>
      <c r="E239" t="s">
        <v>49</v>
      </c>
      <c r="F239" t="s">
        <v>92</v>
      </c>
      <c r="G239" t="s">
        <v>213</v>
      </c>
      <c r="H239" t="s">
        <v>256</v>
      </c>
      <c r="I239" t="s">
        <v>231</v>
      </c>
      <c r="J239" t="s">
        <v>395</v>
      </c>
      <c r="K239" t="s">
        <v>54</v>
      </c>
      <c r="L239">
        <v>2021</v>
      </c>
      <c r="M239">
        <v>0.75</v>
      </c>
      <c r="N239">
        <v>1</v>
      </c>
      <c r="O239">
        <v>1.75</v>
      </c>
      <c r="P239">
        <v>1</v>
      </c>
      <c r="Q239">
        <v>3.75</v>
      </c>
      <c r="R239">
        <v>3.4</v>
      </c>
      <c r="S239">
        <v>2.0499999999999998</v>
      </c>
      <c r="T239">
        <v>3.8</v>
      </c>
      <c r="U239">
        <v>3.5</v>
      </c>
      <c r="V239">
        <v>2</v>
      </c>
      <c r="W239">
        <v>3.75</v>
      </c>
      <c r="X239">
        <v>3.35</v>
      </c>
      <c r="Y239">
        <v>2.0499999999999998</v>
      </c>
      <c r="Z239">
        <v>3.77</v>
      </c>
      <c r="AA239">
        <v>3.58</v>
      </c>
      <c r="AB239">
        <v>2.09</v>
      </c>
      <c r="AC239">
        <v>3.75</v>
      </c>
      <c r="AD239">
        <v>3.4</v>
      </c>
      <c r="AE239">
        <v>2.0499999999999998</v>
      </c>
      <c r="AF239">
        <v>3.9</v>
      </c>
      <c r="AG239">
        <v>3.3</v>
      </c>
      <c r="AH239">
        <v>2.0499999999999998</v>
      </c>
      <c r="AI239">
        <v>3.9</v>
      </c>
      <c r="AJ239">
        <v>3.6</v>
      </c>
      <c r="AK239">
        <v>2.15</v>
      </c>
      <c r="AL239">
        <v>3.73</v>
      </c>
      <c r="AM239">
        <v>3.44</v>
      </c>
      <c r="AN239">
        <v>2.0699999999999998</v>
      </c>
      <c r="AO239">
        <v>1</v>
      </c>
      <c r="AP239">
        <v>0.25658876181004397</v>
      </c>
      <c r="AQ239">
        <v>0.27797115862754801</v>
      </c>
      <c r="AR239">
        <v>0.46544007956240602</v>
      </c>
      <c r="AS239">
        <v>1</v>
      </c>
      <c r="AT239" s="2">
        <v>6.9617105917441004E-4</v>
      </c>
      <c r="AU239">
        <v>1.52932886561125</v>
      </c>
      <c r="AV239">
        <f t="shared" si="20"/>
        <v>74134395.518361196</v>
      </c>
      <c r="AW239">
        <f t="shared" si="21"/>
        <v>19022052.753592432</v>
      </c>
      <c r="AX239">
        <f t="shared" si="22"/>
        <v>20607223.8163918</v>
      </c>
      <c r="AY239">
        <f t="shared" si="23"/>
        <v>34505118.948376969</v>
      </c>
      <c r="AZ239" cm="1">
        <f t="array" ref="AZ239">_xlfn.IFS(E239="H",AW239*AI239-AV239,E239="D",AX239*AJ239-AV239,E239="A",AY239*AK239-AV239)</f>
        <v>51610.220649287105</v>
      </c>
      <c r="BA239">
        <f t="shared" si="24"/>
        <v>6936788.2201679759</v>
      </c>
    </row>
    <row r="240" spans="1:53" x14ac:dyDescent="0.2">
      <c r="A240">
        <v>26</v>
      </c>
      <c r="B240" t="s">
        <v>47</v>
      </c>
      <c r="C240" s="1">
        <v>44260</v>
      </c>
      <c r="D240" t="s">
        <v>68</v>
      </c>
      <c r="E240" t="s">
        <v>49</v>
      </c>
      <c r="F240" t="s">
        <v>353</v>
      </c>
      <c r="G240" t="s">
        <v>294</v>
      </c>
      <c r="H240" t="s">
        <v>256</v>
      </c>
      <c r="I240" t="s">
        <v>394</v>
      </c>
      <c r="J240" t="s">
        <v>272</v>
      </c>
      <c r="K240" t="s">
        <v>54</v>
      </c>
      <c r="L240">
        <v>2021</v>
      </c>
      <c r="M240">
        <v>2</v>
      </c>
      <c r="N240">
        <v>1.25</v>
      </c>
      <c r="O240">
        <v>1.5</v>
      </c>
      <c r="P240">
        <v>1.75</v>
      </c>
      <c r="Q240">
        <v>4</v>
      </c>
      <c r="R240">
        <v>3.4</v>
      </c>
      <c r="S240">
        <v>1.95</v>
      </c>
      <c r="T240">
        <v>3.9</v>
      </c>
      <c r="U240">
        <v>3.4</v>
      </c>
      <c r="V240">
        <v>2</v>
      </c>
      <c r="W240">
        <v>3.95</v>
      </c>
      <c r="X240">
        <v>3.4</v>
      </c>
      <c r="Y240">
        <v>1.97</v>
      </c>
      <c r="Z240">
        <v>4.18</v>
      </c>
      <c r="AA240">
        <v>3.48</v>
      </c>
      <c r="AB240">
        <v>2.0099999999999998</v>
      </c>
      <c r="AC240">
        <v>3.7</v>
      </c>
      <c r="AD240">
        <v>3.4</v>
      </c>
      <c r="AE240">
        <v>2.0499999999999998</v>
      </c>
      <c r="AF240">
        <v>4</v>
      </c>
      <c r="AG240">
        <v>3.5</v>
      </c>
      <c r="AH240">
        <v>1.95</v>
      </c>
      <c r="AI240">
        <v>4.28</v>
      </c>
      <c r="AJ240">
        <v>3.53</v>
      </c>
      <c r="AK240">
        <v>2.11</v>
      </c>
      <c r="AL240">
        <v>4</v>
      </c>
      <c r="AM240">
        <v>3.42</v>
      </c>
      <c r="AN240">
        <v>1.99</v>
      </c>
      <c r="AO240">
        <v>1</v>
      </c>
      <c r="AP240">
        <v>0.23579897111199</v>
      </c>
      <c r="AQ240">
        <v>0.285897902651365</v>
      </c>
      <c r="AR240">
        <v>0.47830312623664401</v>
      </c>
      <c r="AS240">
        <v>1</v>
      </c>
      <c r="AT240">
        <v>9.2195963593193399E-3</v>
      </c>
      <c r="AU240">
        <v>1.53854846197057</v>
      </c>
      <c r="AV240">
        <f t="shared" si="20"/>
        <v>81071183.738529176</v>
      </c>
      <c r="AW240">
        <f t="shared" si="21"/>
        <v>19116501.712376311</v>
      </c>
      <c r="AX240">
        <f t="shared" si="22"/>
        <v>23178081.396308959</v>
      </c>
      <c r="AY240">
        <f t="shared" si="23"/>
        <v>38776600.629843906</v>
      </c>
      <c r="AZ240" cm="1">
        <f t="array" ref="AZ240">_xlfn.IFS(E240="H",AW240*AI240-AV240,E240="D",AX240*AJ240-AV240,E240="A",AY240*AK240-AV240)</f>
        <v>747443.59044143558</v>
      </c>
      <c r="BA240">
        <f t="shared" si="24"/>
        <v>7684231.8106094114</v>
      </c>
    </row>
    <row r="241" spans="1:53" x14ac:dyDescent="0.2">
      <c r="A241">
        <v>24</v>
      </c>
      <c r="B241" t="s">
        <v>55</v>
      </c>
      <c r="C241" s="1">
        <v>44261</v>
      </c>
      <c r="D241" t="s">
        <v>73</v>
      </c>
      <c r="E241" t="s">
        <v>74</v>
      </c>
      <c r="F241" t="s">
        <v>172</v>
      </c>
      <c r="G241" t="s">
        <v>204</v>
      </c>
      <c r="H241" t="s">
        <v>256</v>
      </c>
      <c r="I241" t="s">
        <v>246</v>
      </c>
      <c r="J241" t="s">
        <v>194</v>
      </c>
      <c r="K241" t="s">
        <v>54</v>
      </c>
      <c r="L241">
        <v>2021</v>
      </c>
      <c r="M241">
        <v>1.75</v>
      </c>
      <c r="N241">
        <v>1.5</v>
      </c>
      <c r="O241">
        <v>1.75</v>
      </c>
      <c r="P241">
        <v>2.5</v>
      </c>
      <c r="Q241">
        <v>5</v>
      </c>
      <c r="R241">
        <v>4</v>
      </c>
      <c r="S241">
        <v>1.66</v>
      </c>
      <c r="T241">
        <v>5</v>
      </c>
      <c r="U241">
        <v>4</v>
      </c>
      <c r="V241">
        <v>1.67</v>
      </c>
      <c r="W241">
        <v>5</v>
      </c>
      <c r="X241">
        <v>4</v>
      </c>
      <c r="Y241">
        <v>1.65</v>
      </c>
      <c r="Z241">
        <v>5.33</v>
      </c>
      <c r="AA241">
        <v>4.1100000000000003</v>
      </c>
      <c r="AB241">
        <v>1.68</v>
      </c>
      <c r="AC241">
        <v>5</v>
      </c>
      <c r="AD241">
        <v>3.9</v>
      </c>
      <c r="AE241">
        <v>1.65</v>
      </c>
      <c r="AF241">
        <v>4.8</v>
      </c>
      <c r="AG241">
        <v>4</v>
      </c>
      <c r="AH241">
        <v>1.67</v>
      </c>
      <c r="AI241">
        <v>5.5</v>
      </c>
      <c r="AJ241">
        <v>4.18</v>
      </c>
      <c r="AK241">
        <v>1.74</v>
      </c>
      <c r="AL241">
        <v>5.04</v>
      </c>
      <c r="AM241">
        <v>3.98</v>
      </c>
      <c r="AN241">
        <v>1.67</v>
      </c>
      <c r="AO241">
        <v>1</v>
      </c>
      <c r="AP241">
        <v>0.18259140616370201</v>
      </c>
      <c r="AQ241">
        <v>0.24025185021539799</v>
      </c>
      <c r="AR241">
        <v>0.57715674362089897</v>
      </c>
      <c r="AS241">
        <v>0.999999999999999</v>
      </c>
      <c r="AT241">
        <v>4.2527339003644001E-3</v>
      </c>
      <c r="AU241">
        <v>1.54280119587093</v>
      </c>
      <c r="AV241">
        <f t="shared" si="20"/>
        <v>88755415.549138591</v>
      </c>
      <c r="AW241">
        <f t="shared" si="21"/>
        <v>16205976.129760971</v>
      </c>
      <c r="AX241">
        <f t="shared" si="22"/>
        <v>21323652.802317068</v>
      </c>
      <c r="AY241">
        <f t="shared" si="23"/>
        <v>51225786.617060542</v>
      </c>
      <c r="AZ241" cm="1">
        <f t="array" ref="AZ241">_xlfn.IFS(E241="H",AW241*AI241-AV241,E241="D",AX241*AJ241-AV241,E241="A",AY241*AK241-AV241)</f>
        <v>377453.16454675794</v>
      </c>
      <c r="BA241">
        <f t="shared" si="24"/>
        <v>8061684.9751561694</v>
      </c>
    </row>
    <row r="242" spans="1:53" x14ac:dyDescent="0.2">
      <c r="A242">
        <v>26</v>
      </c>
      <c r="B242" t="s">
        <v>55</v>
      </c>
      <c r="C242" s="1">
        <v>44261</v>
      </c>
      <c r="D242" t="s">
        <v>378</v>
      </c>
      <c r="E242" t="s">
        <v>49</v>
      </c>
      <c r="F242" t="s">
        <v>384</v>
      </c>
      <c r="G242" t="s">
        <v>161</v>
      </c>
      <c r="H242" t="s">
        <v>256</v>
      </c>
      <c r="I242" t="s">
        <v>412</v>
      </c>
      <c r="J242" t="s">
        <v>116</v>
      </c>
      <c r="K242" t="s">
        <v>54</v>
      </c>
      <c r="L242">
        <v>2021</v>
      </c>
      <c r="M242">
        <v>1</v>
      </c>
      <c r="N242">
        <v>1</v>
      </c>
      <c r="O242">
        <v>2.25</v>
      </c>
      <c r="P242">
        <v>1.5</v>
      </c>
      <c r="Q242">
        <v>6.5</v>
      </c>
      <c r="R242">
        <v>3.6</v>
      </c>
      <c r="S242">
        <v>1.6</v>
      </c>
      <c r="T242">
        <v>7</v>
      </c>
      <c r="U242">
        <v>3.7</v>
      </c>
      <c r="V242">
        <v>1.57</v>
      </c>
      <c r="W242">
        <v>6.25</v>
      </c>
      <c r="X242">
        <v>3.6</v>
      </c>
      <c r="Y242">
        <v>1.63</v>
      </c>
      <c r="Z242">
        <v>7.04</v>
      </c>
      <c r="AA242">
        <v>3.58</v>
      </c>
      <c r="AB242">
        <v>1.66</v>
      </c>
      <c r="AC242">
        <v>7</v>
      </c>
      <c r="AD242">
        <v>3.6</v>
      </c>
      <c r="AE242">
        <v>1.6</v>
      </c>
      <c r="AF242">
        <v>6</v>
      </c>
      <c r="AG242">
        <v>3.7</v>
      </c>
      <c r="AH242">
        <v>1.6</v>
      </c>
      <c r="AI242">
        <v>7.5</v>
      </c>
      <c r="AJ242">
        <v>3.91</v>
      </c>
      <c r="AK242">
        <v>1.66</v>
      </c>
      <c r="AL242">
        <v>6.6</v>
      </c>
      <c r="AM242">
        <v>3.61</v>
      </c>
      <c r="AN242">
        <v>1.61</v>
      </c>
      <c r="AO242">
        <v>1</v>
      </c>
      <c r="AP242">
        <v>0.13447672876748601</v>
      </c>
      <c r="AQ242">
        <v>0.25794768945169999</v>
      </c>
      <c r="AR242">
        <v>0.60757558178081195</v>
      </c>
      <c r="AS242">
        <v>1</v>
      </c>
      <c r="AT242">
        <v>8.57546575614942E-3</v>
      </c>
      <c r="AU242">
        <v>1.5513766616270801</v>
      </c>
      <c r="AV242">
        <f t="shared" si="20"/>
        <v>96817100.524294764</v>
      </c>
      <c r="AW242">
        <f t="shared" si="21"/>
        <v>13019646.96726007</v>
      </c>
      <c r="AX242">
        <f t="shared" si="22"/>
        <v>24973747.379654866</v>
      </c>
      <c r="AY242">
        <f t="shared" si="23"/>
        <v>58823706.177379832</v>
      </c>
      <c r="AZ242" cm="1">
        <f t="array" ref="AZ242">_xlfn.IFS(E242="H",AW242*AI242-AV242,E242="D",AX242*AJ242-AV242,E242="A",AY242*AK242-AV242)</f>
        <v>830251.73015576601</v>
      </c>
      <c r="BA242">
        <f t="shared" si="24"/>
        <v>8891936.7053119354</v>
      </c>
    </row>
    <row r="243" spans="1:53" x14ac:dyDescent="0.2">
      <c r="A243">
        <v>26</v>
      </c>
      <c r="B243" t="s">
        <v>55</v>
      </c>
      <c r="C243" s="1">
        <v>44261</v>
      </c>
      <c r="D243" t="s">
        <v>68</v>
      </c>
      <c r="E243" t="s">
        <v>74</v>
      </c>
      <c r="F243" t="s">
        <v>86</v>
      </c>
      <c r="G243" t="s">
        <v>87</v>
      </c>
      <c r="H243" t="s">
        <v>256</v>
      </c>
      <c r="I243" t="s">
        <v>88</v>
      </c>
      <c r="J243" t="s">
        <v>401</v>
      </c>
      <c r="K243" t="s">
        <v>54</v>
      </c>
      <c r="L243">
        <v>2021</v>
      </c>
      <c r="M243">
        <v>1.75</v>
      </c>
      <c r="N243">
        <v>1.25</v>
      </c>
      <c r="O243">
        <v>3</v>
      </c>
      <c r="P243">
        <v>2.75</v>
      </c>
      <c r="Q243">
        <v>5.75</v>
      </c>
      <c r="R243">
        <v>4.5</v>
      </c>
      <c r="S243">
        <v>1.5</v>
      </c>
      <c r="T243">
        <v>6.25</v>
      </c>
      <c r="U243">
        <v>4.25</v>
      </c>
      <c r="V243">
        <v>1.53</v>
      </c>
      <c r="W243">
        <v>6</v>
      </c>
      <c r="X243">
        <v>4.4000000000000004</v>
      </c>
      <c r="Y243">
        <v>1.53</v>
      </c>
      <c r="Z243">
        <v>6.37</v>
      </c>
      <c r="AA243">
        <v>4.68</v>
      </c>
      <c r="AB243">
        <v>1.53</v>
      </c>
      <c r="AC243">
        <v>6.5</v>
      </c>
      <c r="AD243">
        <v>4.33</v>
      </c>
      <c r="AE243">
        <v>1.52</v>
      </c>
      <c r="AF243">
        <v>6</v>
      </c>
      <c r="AG243">
        <v>4.4000000000000004</v>
      </c>
      <c r="AH243">
        <v>1.5</v>
      </c>
      <c r="AI243">
        <v>7</v>
      </c>
      <c r="AJ243">
        <v>4.75</v>
      </c>
      <c r="AK243">
        <v>1.6</v>
      </c>
      <c r="AL243">
        <v>6.09</v>
      </c>
      <c r="AM243">
        <v>4.45</v>
      </c>
      <c r="AN243">
        <v>1.52</v>
      </c>
      <c r="AO243">
        <v>1</v>
      </c>
      <c r="AP243">
        <v>0.14601344860710799</v>
      </c>
      <c r="AQ243">
        <v>0.21517771373679101</v>
      </c>
      <c r="AR243">
        <v>0.63880883765609897</v>
      </c>
      <c r="AS243">
        <v>1</v>
      </c>
      <c r="AT243">
        <v>2.2094140249759801E-2</v>
      </c>
      <c r="AU243">
        <v>1.57347080187684</v>
      </c>
      <c r="AV243">
        <f t="shared" si="20"/>
        <v>105709037.2296067</v>
      </c>
      <c r="AW243">
        <f t="shared" si="21"/>
        <v>15434941.074832102</v>
      </c>
      <c r="AX243">
        <f t="shared" si="22"/>
        <v>22746228.952384152</v>
      </c>
      <c r="AY243">
        <f t="shared" si="23"/>
        <v>67527867.202390447</v>
      </c>
      <c r="AZ243" cm="1">
        <f t="array" ref="AZ243">_xlfn.IFS(E243="H",AW243*AI243-AV243,E243="D",AX243*AJ243-AV243,E243="A",AY243*AK243-AV243)</f>
        <v>2335550.2942180187</v>
      </c>
      <c r="BA243">
        <f t="shared" si="24"/>
        <v>11227486.999529954</v>
      </c>
    </row>
    <row r="244" spans="1:53" x14ac:dyDescent="0.2">
      <c r="A244">
        <v>26</v>
      </c>
      <c r="B244" t="s">
        <v>67</v>
      </c>
      <c r="C244" s="1">
        <v>44262</v>
      </c>
      <c r="D244" t="s">
        <v>183</v>
      </c>
      <c r="E244" t="s">
        <v>57</v>
      </c>
      <c r="F244" t="s">
        <v>181</v>
      </c>
      <c r="G244" t="s">
        <v>187</v>
      </c>
      <c r="H244" t="s">
        <v>256</v>
      </c>
      <c r="I244" t="s">
        <v>344</v>
      </c>
      <c r="J244" t="s">
        <v>390</v>
      </c>
      <c r="K244" t="s">
        <v>54</v>
      </c>
      <c r="L244">
        <v>2021</v>
      </c>
      <c r="M244">
        <v>1.5</v>
      </c>
      <c r="N244">
        <v>1.5</v>
      </c>
      <c r="O244">
        <v>0.5</v>
      </c>
      <c r="P244">
        <v>1</v>
      </c>
      <c r="Q244">
        <v>1.9</v>
      </c>
      <c r="R244">
        <v>3.5</v>
      </c>
      <c r="S244">
        <v>4.0999999999999996</v>
      </c>
      <c r="T244">
        <v>1.87</v>
      </c>
      <c r="U244">
        <v>3.6</v>
      </c>
      <c r="V244">
        <v>4.2</v>
      </c>
      <c r="W244">
        <v>1.95</v>
      </c>
      <c r="X244">
        <v>3.5</v>
      </c>
      <c r="Y244">
        <v>4.0999999999999996</v>
      </c>
      <c r="Z244">
        <v>1.98</v>
      </c>
      <c r="AA244">
        <v>3.56</v>
      </c>
      <c r="AB244">
        <v>4.2</v>
      </c>
      <c r="AC244">
        <v>1.95</v>
      </c>
      <c r="AD244">
        <v>3.4</v>
      </c>
      <c r="AE244">
        <v>4.2</v>
      </c>
      <c r="AF244">
        <v>1.9</v>
      </c>
      <c r="AG244">
        <v>3.3</v>
      </c>
      <c r="AH244">
        <v>4.4000000000000004</v>
      </c>
      <c r="AI244">
        <v>1.99</v>
      </c>
      <c r="AJ244">
        <v>3.79</v>
      </c>
      <c r="AK244">
        <v>4.4000000000000004</v>
      </c>
      <c r="AL244">
        <v>1.93</v>
      </c>
      <c r="AM244">
        <v>3.5</v>
      </c>
      <c r="AN244">
        <v>4.1100000000000003</v>
      </c>
      <c r="AO244">
        <v>1</v>
      </c>
      <c r="AP244">
        <v>0.50573025495767898</v>
      </c>
      <c r="AQ244">
        <v>0.26554174336827902</v>
      </c>
      <c r="AR244">
        <v>0.228728001674041</v>
      </c>
      <c r="AS244">
        <v>1</v>
      </c>
      <c r="AT244">
        <v>6.4032073657811399E-3</v>
      </c>
      <c r="AU244">
        <v>1.57987400924262</v>
      </c>
      <c r="AV244">
        <f t="shared" si="20"/>
        <v>116936524.22913666</v>
      </c>
      <c r="AW244">
        <f t="shared" si="21"/>
        <v>59138338.212266088</v>
      </c>
      <c r="AX244">
        <f t="shared" si="22"/>
        <v>31051528.507232059</v>
      </c>
      <c r="AY244">
        <f t="shared" si="23"/>
        <v>26746657.509638522</v>
      </c>
      <c r="AZ244" cm="1">
        <f t="array" ref="AZ244">_xlfn.IFS(E244="H",AW244*AI244-AV244,E244="D",AX244*AJ244-AV244,E244="A",AY244*AK244-AV244)</f>
        <v>748768.81327284873</v>
      </c>
      <c r="BA244">
        <f t="shared" si="24"/>
        <v>11976255.812802803</v>
      </c>
    </row>
    <row r="245" spans="1:53" x14ac:dyDescent="0.2">
      <c r="A245">
        <v>26</v>
      </c>
      <c r="B245" t="s">
        <v>67</v>
      </c>
      <c r="C245" s="1">
        <v>44262</v>
      </c>
      <c r="D245" t="s">
        <v>183</v>
      </c>
      <c r="E245" t="s">
        <v>49</v>
      </c>
      <c r="F245" t="s">
        <v>376</v>
      </c>
      <c r="G245" t="s">
        <v>375</v>
      </c>
      <c r="H245" t="s">
        <v>256</v>
      </c>
      <c r="I245" t="s">
        <v>392</v>
      </c>
      <c r="J245" t="s">
        <v>413</v>
      </c>
      <c r="K245" t="s">
        <v>54</v>
      </c>
      <c r="L245">
        <v>2021</v>
      </c>
      <c r="M245">
        <v>0.75</v>
      </c>
      <c r="N245">
        <v>1.25</v>
      </c>
      <c r="O245">
        <v>1.25</v>
      </c>
      <c r="P245">
        <v>1.5</v>
      </c>
      <c r="Q245">
        <v>3.6</v>
      </c>
      <c r="R245">
        <v>3.4</v>
      </c>
      <c r="S245">
        <v>2.0499999999999998</v>
      </c>
      <c r="T245">
        <v>3.7</v>
      </c>
      <c r="U245">
        <v>3.3</v>
      </c>
      <c r="V245">
        <v>2.1</v>
      </c>
      <c r="W245">
        <v>3.85</v>
      </c>
      <c r="X245">
        <v>3.4</v>
      </c>
      <c r="Y245">
        <v>2</v>
      </c>
      <c r="Z245">
        <v>3.86</v>
      </c>
      <c r="AA245">
        <v>3.41</v>
      </c>
      <c r="AB245">
        <v>2.13</v>
      </c>
      <c r="AC245">
        <v>3.8</v>
      </c>
      <c r="AD245">
        <v>3.3</v>
      </c>
      <c r="AE245">
        <v>2.0499999999999998</v>
      </c>
      <c r="AF245">
        <v>3.9</v>
      </c>
      <c r="AG245">
        <v>3.2</v>
      </c>
      <c r="AH245">
        <v>2.0499999999999998</v>
      </c>
      <c r="AI245">
        <v>4</v>
      </c>
      <c r="AJ245">
        <v>3.55</v>
      </c>
      <c r="AK245">
        <v>2.16</v>
      </c>
      <c r="AL245">
        <v>3.76</v>
      </c>
      <c r="AM245">
        <v>3.36</v>
      </c>
      <c r="AN245">
        <v>2.0699999999999998</v>
      </c>
      <c r="AO245">
        <v>1</v>
      </c>
      <c r="AP245">
        <v>0.251343909794152</v>
      </c>
      <c r="AQ245">
        <v>0.28320440540186098</v>
      </c>
      <c r="AR245">
        <v>0.46545168480398502</v>
      </c>
      <c r="AS245">
        <v>1</v>
      </c>
      <c r="AT245">
        <v>5.3756391766093198E-3</v>
      </c>
      <c r="AU245">
        <v>1.58524964841923</v>
      </c>
      <c r="AV245">
        <f t="shared" si="20"/>
        <v>128912780.04193947</v>
      </c>
      <c r="AW245">
        <f t="shared" si="21"/>
        <v>32401442.158174638</v>
      </c>
      <c r="AX245">
        <f t="shared" si="22"/>
        <v>36508667.220478468</v>
      </c>
      <c r="AY245">
        <f t="shared" si="23"/>
        <v>60002670.663286366</v>
      </c>
      <c r="AZ245" cm="1">
        <f t="array" ref="AZ245">_xlfn.IFS(E245="H",AW245*AI245-AV245,E245="D",AX245*AJ245-AV245,E245="A",AY245*AK245-AV245)</f>
        <v>692988.59075908363</v>
      </c>
      <c r="BA245">
        <f t="shared" si="24"/>
        <v>12669244.403561886</v>
      </c>
    </row>
    <row r="246" spans="1:53" x14ac:dyDescent="0.2">
      <c r="A246">
        <v>26</v>
      </c>
      <c r="B246" t="s">
        <v>67</v>
      </c>
      <c r="C246" s="1">
        <v>44262</v>
      </c>
      <c r="D246" t="s">
        <v>190</v>
      </c>
      <c r="E246" t="s">
        <v>49</v>
      </c>
      <c r="F246" t="s">
        <v>158</v>
      </c>
      <c r="G246" t="s">
        <v>308</v>
      </c>
      <c r="H246" t="s">
        <v>256</v>
      </c>
      <c r="I246" t="s">
        <v>266</v>
      </c>
      <c r="J246" t="s">
        <v>349</v>
      </c>
      <c r="K246" t="s">
        <v>54</v>
      </c>
      <c r="L246">
        <v>2021</v>
      </c>
      <c r="M246">
        <v>2</v>
      </c>
      <c r="N246">
        <v>2.75</v>
      </c>
      <c r="O246">
        <v>1.75</v>
      </c>
      <c r="P246">
        <v>1.75</v>
      </c>
      <c r="Q246">
        <v>1.44</v>
      </c>
      <c r="R246">
        <v>4.33</v>
      </c>
      <c r="S246">
        <v>7.5</v>
      </c>
      <c r="T246">
        <v>1.45</v>
      </c>
      <c r="U246">
        <v>4.33</v>
      </c>
      <c r="V246">
        <v>7.5</v>
      </c>
      <c r="W246">
        <v>1.47</v>
      </c>
      <c r="X246">
        <v>4.4000000000000004</v>
      </c>
      <c r="Y246">
        <v>6.75</v>
      </c>
      <c r="Z246">
        <v>1.49</v>
      </c>
      <c r="AA246">
        <v>4.47</v>
      </c>
      <c r="AB246">
        <v>7.74</v>
      </c>
      <c r="AC246">
        <v>1.47</v>
      </c>
      <c r="AD246">
        <v>4.2</v>
      </c>
      <c r="AE246">
        <v>7.5</v>
      </c>
      <c r="AF246">
        <v>1.44</v>
      </c>
      <c r="AG246">
        <v>4.4000000000000004</v>
      </c>
      <c r="AH246">
        <v>7</v>
      </c>
      <c r="AI246">
        <v>1.54</v>
      </c>
      <c r="AJ246">
        <v>4.5999999999999996</v>
      </c>
      <c r="AK246">
        <v>7.74</v>
      </c>
      <c r="AL246">
        <v>1.47</v>
      </c>
      <c r="AM246">
        <v>4.3899999999999997</v>
      </c>
      <c r="AN246">
        <v>7.07</v>
      </c>
      <c r="AO246">
        <v>1</v>
      </c>
      <c r="AP246">
        <v>0.65199715790475998</v>
      </c>
      <c r="AQ246">
        <v>0.21827730938550599</v>
      </c>
      <c r="AR246">
        <v>0.129725532709732</v>
      </c>
      <c r="AS246">
        <v>1</v>
      </c>
      <c r="AT246">
        <v>4.0756231733309802E-3</v>
      </c>
      <c r="AU246">
        <v>1.5893252715925601</v>
      </c>
      <c r="AV246">
        <f t="shared" si="20"/>
        <v>141582024.44550136</v>
      </c>
      <c r="AW246">
        <f t="shared" si="21"/>
        <v>92311077.548869208</v>
      </c>
      <c r="AX246">
        <f t="shared" si="22"/>
        <v>30904143.353317086</v>
      </c>
      <c r="AY246">
        <f t="shared" si="23"/>
        <v>18366803.54331506</v>
      </c>
      <c r="AZ246" cm="1">
        <f t="array" ref="AZ246">_xlfn.IFS(E246="H",AW246*AI246-AV246,E246="D",AX246*AJ246-AV246,E246="A",AY246*AK246-AV246)</f>
        <v>577034.97975721955</v>
      </c>
      <c r="BA246">
        <f t="shared" si="24"/>
        <v>13246279.383319106</v>
      </c>
    </row>
    <row r="247" spans="1:53" x14ac:dyDescent="0.2">
      <c r="A247">
        <v>27</v>
      </c>
      <c r="B247" t="s">
        <v>67</v>
      </c>
      <c r="C247" s="1">
        <v>44262</v>
      </c>
      <c r="D247" t="s">
        <v>125</v>
      </c>
      <c r="E247" t="s">
        <v>74</v>
      </c>
      <c r="F247" t="s">
        <v>210</v>
      </c>
      <c r="G247" t="s">
        <v>405</v>
      </c>
      <c r="H247" t="s">
        <v>256</v>
      </c>
      <c r="I247" t="s">
        <v>400</v>
      </c>
      <c r="J247" t="s">
        <v>103</v>
      </c>
      <c r="K247" t="s">
        <v>54</v>
      </c>
      <c r="L247">
        <v>2021</v>
      </c>
      <c r="M247">
        <v>0</v>
      </c>
      <c r="N247">
        <v>0.25</v>
      </c>
      <c r="O247">
        <v>1.5</v>
      </c>
      <c r="P247">
        <v>1.25</v>
      </c>
      <c r="Q247">
        <v>1.36</v>
      </c>
      <c r="R247">
        <v>5</v>
      </c>
      <c r="S247">
        <v>8.5</v>
      </c>
      <c r="T247">
        <v>1.4</v>
      </c>
      <c r="U247">
        <v>4.75</v>
      </c>
      <c r="V247">
        <v>7.75</v>
      </c>
      <c r="W247">
        <v>1.37</v>
      </c>
      <c r="X247">
        <v>5.25</v>
      </c>
      <c r="Y247">
        <v>7.75</v>
      </c>
      <c r="Z247">
        <v>1.42</v>
      </c>
      <c r="AA247">
        <v>4.92</v>
      </c>
      <c r="AB247">
        <v>8.5399999999999991</v>
      </c>
      <c r="AC247">
        <v>1.36</v>
      </c>
      <c r="AD247">
        <v>4.75</v>
      </c>
      <c r="AE247">
        <v>9.5</v>
      </c>
      <c r="AF247">
        <v>1.36</v>
      </c>
      <c r="AG247">
        <v>5</v>
      </c>
      <c r="AH247">
        <v>8.5</v>
      </c>
      <c r="AI247">
        <v>1.44</v>
      </c>
      <c r="AJ247">
        <v>5.35</v>
      </c>
      <c r="AK247">
        <v>9.5</v>
      </c>
      <c r="AL247">
        <v>1.38</v>
      </c>
      <c r="AM247">
        <v>4.9800000000000004</v>
      </c>
      <c r="AN247">
        <v>8.39</v>
      </c>
      <c r="AO247">
        <v>1</v>
      </c>
      <c r="AP247">
        <v>0.70385962968604998</v>
      </c>
      <c r="AQ247">
        <v>0.18945006855101101</v>
      </c>
      <c r="AR247">
        <v>0.10669030176293801</v>
      </c>
      <c r="AS247">
        <v>1</v>
      </c>
      <c r="AT247">
        <v>1.35578667479121E-2</v>
      </c>
      <c r="AU247">
        <v>1.60288313834048</v>
      </c>
      <c r="AV247">
        <f t="shared" si="20"/>
        <v>154828303.82882047</v>
      </c>
      <c r="AW247">
        <f t="shared" si="21"/>
        <v>108977392.59787284</v>
      </c>
      <c r="AX247">
        <f t="shared" si="22"/>
        <v>29332232.774006896</v>
      </c>
      <c r="AY247">
        <f t="shared" si="23"/>
        <v>16518678.456940725</v>
      </c>
      <c r="AZ247" cm="1">
        <f t="array" ref="AZ247">_xlfn.IFS(E247="H",AW247*AI247-AV247,E247="D",AX247*AJ247-AV247,E247="A",AY247*AK247-AV247)</f>
        <v>2099141.5121164322</v>
      </c>
      <c r="BA247">
        <f t="shared" si="24"/>
        <v>15345420.895435538</v>
      </c>
    </row>
    <row r="248" spans="1:53" x14ac:dyDescent="0.2">
      <c r="A248">
        <v>27</v>
      </c>
      <c r="B248" t="s">
        <v>67</v>
      </c>
      <c r="C248" s="1">
        <v>44269</v>
      </c>
      <c r="D248" t="s">
        <v>254</v>
      </c>
      <c r="E248" t="s">
        <v>74</v>
      </c>
      <c r="F248" t="s">
        <v>141</v>
      </c>
      <c r="G248" t="s">
        <v>132</v>
      </c>
      <c r="H248" t="s">
        <v>256</v>
      </c>
      <c r="I248" t="s">
        <v>143</v>
      </c>
      <c r="J248" t="s">
        <v>279</v>
      </c>
      <c r="K248" t="s">
        <v>54</v>
      </c>
      <c r="L248">
        <v>2021</v>
      </c>
      <c r="M248">
        <v>1</v>
      </c>
      <c r="N248">
        <v>0.5</v>
      </c>
      <c r="O248">
        <v>1</v>
      </c>
      <c r="P248">
        <v>0.75</v>
      </c>
      <c r="Q248">
        <v>6</v>
      </c>
      <c r="R248">
        <v>4</v>
      </c>
      <c r="S248">
        <v>1.55</v>
      </c>
      <c r="T248">
        <v>6</v>
      </c>
      <c r="U248">
        <v>4.2</v>
      </c>
      <c r="V248">
        <v>1.55</v>
      </c>
      <c r="W248">
        <v>6</v>
      </c>
      <c r="X248">
        <v>4.2</v>
      </c>
      <c r="Y248">
        <v>1.55</v>
      </c>
      <c r="Z248">
        <v>6.39</v>
      </c>
      <c r="AA248">
        <v>4.41</v>
      </c>
      <c r="AB248">
        <v>1.56</v>
      </c>
      <c r="AC248">
        <v>6.5</v>
      </c>
      <c r="AD248">
        <v>4</v>
      </c>
      <c r="AE248">
        <v>1.53</v>
      </c>
      <c r="AF248">
        <v>6.5</v>
      </c>
      <c r="AG248">
        <v>4</v>
      </c>
      <c r="AH248">
        <v>1.53</v>
      </c>
      <c r="AI248">
        <v>6.75</v>
      </c>
      <c r="AJ248">
        <v>4.5</v>
      </c>
      <c r="AK248">
        <v>1.59</v>
      </c>
      <c r="AL248">
        <v>5.98</v>
      </c>
      <c r="AM248">
        <v>4.22</v>
      </c>
      <c r="AN248">
        <v>1.55</v>
      </c>
      <c r="AO248">
        <v>1</v>
      </c>
      <c r="AP248">
        <v>0.148251748251748</v>
      </c>
      <c r="AQ248">
        <v>0.22237762237762199</v>
      </c>
      <c r="AR248">
        <v>0.62937062937062904</v>
      </c>
      <c r="AS248">
        <v>1</v>
      </c>
      <c r="AT248" s="2">
        <v>6.9930069930079699E-4</v>
      </c>
      <c r="AU248">
        <v>1.6035824390397799</v>
      </c>
      <c r="AV248">
        <f t="shared" si="20"/>
        <v>170173724.72425601</v>
      </c>
      <c r="AW248">
        <f t="shared" si="21"/>
        <v>25228552.19688271</v>
      </c>
      <c r="AX248">
        <f t="shared" si="22"/>
        <v>37842828.295324065</v>
      </c>
      <c r="AY248">
        <f t="shared" si="23"/>
        <v>107102344.23204924</v>
      </c>
      <c r="AZ248" cm="1">
        <f t="array" ref="AZ248">_xlfn.IFS(E248="H",AW248*AI248-AV248,E248="D",AX248*AJ248-AV248,E248="A",AY248*AK248-AV248)</f>
        <v>119002.60470229387</v>
      </c>
      <c r="BA248">
        <f t="shared" si="24"/>
        <v>15464423.500137832</v>
      </c>
    </row>
    <row r="249" spans="1:53" x14ac:dyDescent="0.2">
      <c r="A249">
        <v>2</v>
      </c>
      <c r="B249" t="s">
        <v>202</v>
      </c>
      <c r="C249" s="1">
        <v>44272</v>
      </c>
      <c r="D249" t="s">
        <v>414</v>
      </c>
      <c r="E249" t="s">
        <v>49</v>
      </c>
      <c r="F249" t="s">
        <v>161</v>
      </c>
      <c r="G249" t="s">
        <v>384</v>
      </c>
      <c r="H249" t="s">
        <v>256</v>
      </c>
      <c r="I249" t="s">
        <v>163</v>
      </c>
      <c r="J249" t="s">
        <v>168</v>
      </c>
      <c r="K249" t="s">
        <v>54</v>
      </c>
      <c r="L249">
        <v>2021</v>
      </c>
      <c r="M249">
        <v>2.25</v>
      </c>
      <c r="N249">
        <v>1.25</v>
      </c>
      <c r="O249">
        <v>0</v>
      </c>
      <c r="P249">
        <v>0.75</v>
      </c>
      <c r="Q249">
        <v>1.4</v>
      </c>
      <c r="R249">
        <v>4.5</v>
      </c>
      <c r="S249">
        <v>8</v>
      </c>
      <c r="T249">
        <v>1.4</v>
      </c>
      <c r="U249">
        <v>4.5</v>
      </c>
      <c r="V249">
        <v>8.5</v>
      </c>
      <c r="W249">
        <v>1.43</v>
      </c>
      <c r="X249">
        <v>4.5999999999999996</v>
      </c>
      <c r="Y249">
        <v>7.75</v>
      </c>
      <c r="Z249">
        <v>1.45</v>
      </c>
      <c r="AA249">
        <v>4.51</v>
      </c>
      <c r="AB249">
        <v>8.6999999999999993</v>
      </c>
      <c r="AC249">
        <v>1.42</v>
      </c>
      <c r="AD249">
        <v>4.33</v>
      </c>
      <c r="AE249">
        <v>8.5</v>
      </c>
      <c r="AF249">
        <v>1.4</v>
      </c>
      <c r="AG249">
        <v>4.5</v>
      </c>
      <c r="AH249">
        <v>8</v>
      </c>
      <c r="AI249">
        <v>1.48</v>
      </c>
      <c r="AJ249">
        <v>4.75</v>
      </c>
      <c r="AK249">
        <v>9.01</v>
      </c>
      <c r="AL249">
        <v>1.42</v>
      </c>
      <c r="AM249">
        <v>4.47</v>
      </c>
      <c r="AN249">
        <v>8.1</v>
      </c>
      <c r="AO249">
        <v>1</v>
      </c>
      <c r="AP249">
        <v>0.67757982214073897</v>
      </c>
      <c r="AQ249">
        <v>0.21111960774069299</v>
      </c>
      <c r="AR249">
        <v>0.111300570118567</v>
      </c>
      <c r="AS249">
        <v>0.999999999999999</v>
      </c>
      <c r="AT249">
        <v>2.81813676829356E-3</v>
      </c>
      <c r="AU249">
        <v>1.6064005758080699</v>
      </c>
      <c r="AV249">
        <f t="shared" si="20"/>
        <v>185638148.22439384</v>
      </c>
      <c r="AW249">
        <f t="shared" si="21"/>
        <v>125784663.45642093</v>
      </c>
      <c r="AX249">
        <f t="shared" si="22"/>
        <v>39191853.03484273</v>
      </c>
      <c r="AY249">
        <f t="shared" si="23"/>
        <v>20661631.733130183</v>
      </c>
      <c r="AZ249" cm="1">
        <f t="array" ref="AZ249">_xlfn.IFS(E249="H",AW249*AI249-AV249,E249="D",AX249*AJ249-AV249,E249="A",AY249*AK249-AV249)</f>
        <v>523153.69110912085</v>
      </c>
      <c r="BA249">
        <f t="shared" si="24"/>
        <v>15987577.191246953</v>
      </c>
    </row>
    <row r="250" spans="1:53" x14ac:dyDescent="0.2">
      <c r="A250">
        <v>28</v>
      </c>
      <c r="B250" t="s">
        <v>55</v>
      </c>
      <c r="C250" s="1">
        <v>44275</v>
      </c>
      <c r="D250" t="s">
        <v>125</v>
      </c>
      <c r="E250" t="s">
        <v>57</v>
      </c>
      <c r="F250" t="s">
        <v>311</v>
      </c>
      <c r="G250" t="s">
        <v>113</v>
      </c>
      <c r="H250" t="s">
        <v>256</v>
      </c>
      <c r="I250" t="s">
        <v>397</v>
      </c>
      <c r="J250" t="s">
        <v>116</v>
      </c>
      <c r="K250" t="s">
        <v>54</v>
      </c>
      <c r="L250">
        <v>2021</v>
      </c>
      <c r="M250">
        <v>2</v>
      </c>
      <c r="N250">
        <v>2.25</v>
      </c>
      <c r="O250">
        <v>0.25</v>
      </c>
      <c r="P250">
        <v>0.5</v>
      </c>
      <c r="Q250">
        <v>1.75</v>
      </c>
      <c r="R250">
        <v>3.6</v>
      </c>
      <c r="S250">
        <v>4.75</v>
      </c>
      <c r="T250">
        <v>1.78</v>
      </c>
      <c r="U250">
        <v>3.8</v>
      </c>
      <c r="V250">
        <v>4.5</v>
      </c>
      <c r="W250">
        <v>1.8</v>
      </c>
      <c r="X250">
        <v>3.5</v>
      </c>
      <c r="Y250">
        <v>4.8</v>
      </c>
      <c r="Z250">
        <v>1.84</v>
      </c>
      <c r="AA250">
        <v>3.74</v>
      </c>
      <c r="AB250">
        <v>4.71</v>
      </c>
      <c r="AC250">
        <v>1.83</v>
      </c>
      <c r="AD250">
        <v>3.5</v>
      </c>
      <c r="AE250">
        <v>4.5</v>
      </c>
      <c r="AF250">
        <v>1.75</v>
      </c>
      <c r="AG250">
        <v>3.5</v>
      </c>
      <c r="AH250">
        <v>4.75</v>
      </c>
      <c r="AI250">
        <v>1.88</v>
      </c>
      <c r="AJ250">
        <v>3.8</v>
      </c>
      <c r="AK250">
        <v>4.9000000000000004</v>
      </c>
      <c r="AL250">
        <v>1.81</v>
      </c>
      <c r="AM250">
        <v>3.59</v>
      </c>
      <c r="AN250">
        <v>4.6100000000000003</v>
      </c>
      <c r="AO250">
        <v>1</v>
      </c>
      <c r="AP250">
        <v>0.53236505032021897</v>
      </c>
      <c r="AQ250">
        <v>0.26338060384263401</v>
      </c>
      <c r="AR250">
        <v>0.204254345837145</v>
      </c>
      <c r="AS250">
        <v>1</v>
      </c>
      <c r="AT250" s="2">
        <v>8.4629460201268703E-4</v>
      </c>
      <c r="AU250">
        <v>1.60724687041008</v>
      </c>
      <c r="AV250">
        <f t="shared" si="20"/>
        <v>201625725.4156408</v>
      </c>
      <c r="AW250">
        <f t="shared" si="21"/>
        <v>107338489.4567484</v>
      </c>
      <c r="AX250">
        <f t="shared" si="22"/>
        <v>53104305.310180783</v>
      </c>
      <c r="AY250">
        <f t="shared" si="23"/>
        <v>41182930.648711622</v>
      </c>
      <c r="AZ250" cm="1">
        <f t="array" ref="AZ250">_xlfn.IFS(E250="H",AW250*AI250-AV250,E250="D",AX250*AJ250-AV250,E250="A",AY250*AK250-AV250)</f>
        <v>170634.76304617524</v>
      </c>
      <c r="BA250">
        <f t="shared" si="24"/>
        <v>16158211.954293128</v>
      </c>
    </row>
    <row r="251" spans="1:53" x14ac:dyDescent="0.2">
      <c r="A251">
        <v>28</v>
      </c>
      <c r="B251" t="s">
        <v>67</v>
      </c>
      <c r="C251" s="1">
        <v>44276</v>
      </c>
      <c r="D251" t="s">
        <v>254</v>
      </c>
      <c r="E251" t="s">
        <v>74</v>
      </c>
      <c r="F251" t="s">
        <v>181</v>
      </c>
      <c r="G251" t="s">
        <v>243</v>
      </c>
      <c r="H251" t="s">
        <v>256</v>
      </c>
      <c r="I251" t="s">
        <v>344</v>
      </c>
      <c r="J251" t="s">
        <v>413</v>
      </c>
      <c r="K251" t="s">
        <v>54</v>
      </c>
      <c r="L251">
        <v>2021</v>
      </c>
      <c r="M251">
        <v>1</v>
      </c>
      <c r="N251">
        <v>1.75</v>
      </c>
      <c r="O251">
        <v>2.25</v>
      </c>
      <c r="P251">
        <v>1.5</v>
      </c>
      <c r="Q251">
        <v>3.6</v>
      </c>
      <c r="R251">
        <v>3.4</v>
      </c>
      <c r="S251">
        <v>2.1</v>
      </c>
      <c r="T251">
        <v>3.5</v>
      </c>
      <c r="U251">
        <v>3.3</v>
      </c>
      <c r="V251">
        <v>2.15</v>
      </c>
      <c r="W251">
        <v>3.45</v>
      </c>
      <c r="X251">
        <v>3.35</v>
      </c>
      <c r="Y251">
        <v>2.15</v>
      </c>
      <c r="Z251">
        <v>3.56</v>
      </c>
      <c r="AA251">
        <v>3.44</v>
      </c>
      <c r="AB251">
        <v>2.2200000000000002</v>
      </c>
      <c r="AC251">
        <v>3.4</v>
      </c>
      <c r="AD251">
        <v>3.3</v>
      </c>
      <c r="AE251">
        <v>2.2000000000000002</v>
      </c>
      <c r="AF251">
        <v>3.5</v>
      </c>
      <c r="AG251">
        <v>3.2</v>
      </c>
      <c r="AH251">
        <v>2.15</v>
      </c>
      <c r="AI251">
        <v>3.6</v>
      </c>
      <c r="AJ251">
        <v>3.6</v>
      </c>
      <c r="AK251">
        <v>2.27</v>
      </c>
      <c r="AL251">
        <v>3.44</v>
      </c>
      <c r="AM251">
        <v>3.36</v>
      </c>
      <c r="AN251">
        <v>2.17</v>
      </c>
      <c r="AO251">
        <v>1</v>
      </c>
      <c r="AP251">
        <v>0.27886977886977798</v>
      </c>
      <c r="AQ251">
        <v>0.27886977886977798</v>
      </c>
      <c r="AR251">
        <v>0.44226044226044198</v>
      </c>
      <c r="AS251">
        <v>1</v>
      </c>
      <c r="AT251">
        <v>3.9312039312038296E-3</v>
      </c>
      <c r="AU251">
        <v>1.61117807434129</v>
      </c>
      <c r="AV251">
        <f t="shared" si="20"/>
        <v>217783937.36993393</v>
      </c>
      <c r="AW251">
        <f t="shared" si="21"/>
        <v>60733358.455743246</v>
      </c>
      <c r="AX251">
        <f t="shared" si="22"/>
        <v>60733358.455743246</v>
      </c>
      <c r="AY251">
        <f t="shared" si="23"/>
        <v>96317220.458447441</v>
      </c>
      <c r="AZ251" cm="1">
        <f t="array" ref="AZ251">_xlfn.IFS(E251="H",AW251*AI251-AV251,E251="D",AX251*AJ251-AV251,E251="A",AY251*AK251-AV251)</f>
        <v>856153.07074177265</v>
      </c>
      <c r="BA251">
        <f t="shared" si="24"/>
        <v>17014365.025034901</v>
      </c>
    </row>
    <row r="252" spans="1:53" x14ac:dyDescent="0.2">
      <c r="A252">
        <v>28</v>
      </c>
      <c r="B252" t="s">
        <v>67</v>
      </c>
      <c r="C252" s="1">
        <v>44276</v>
      </c>
      <c r="D252" t="s">
        <v>125</v>
      </c>
      <c r="E252" t="s">
        <v>57</v>
      </c>
      <c r="F252" t="s">
        <v>162</v>
      </c>
      <c r="G252" t="s">
        <v>384</v>
      </c>
      <c r="H252" t="s">
        <v>256</v>
      </c>
      <c r="I252" t="s">
        <v>237</v>
      </c>
      <c r="J252" t="s">
        <v>391</v>
      </c>
      <c r="K252" t="s">
        <v>54</v>
      </c>
      <c r="L252">
        <v>2021</v>
      </c>
      <c r="M252">
        <v>1.25</v>
      </c>
      <c r="N252">
        <v>0.75</v>
      </c>
      <c r="O252">
        <v>0</v>
      </c>
      <c r="P252">
        <v>0.5</v>
      </c>
      <c r="Q252">
        <v>1.83</v>
      </c>
      <c r="R252">
        <v>3.25</v>
      </c>
      <c r="S252">
        <v>4.75</v>
      </c>
      <c r="T252">
        <v>1.85</v>
      </c>
      <c r="U252">
        <v>3.1</v>
      </c>
      <c r="V252">
        <v>5.25</v>
      </c>
      <c r="W252">
        <v>1.9</v>
      </c>
      <c r="X252">
        <v>3.1</v>
      </c>
      <c r="Y252">
        <v>5</v>
      </c>
      <c r="Z252">
        <v>1.93</v>
      </c>
      <c r="AA252">
        <v>3.13</v>
      </c>
      <c r="AB252">
        <v>5.37</v>
      </c>
      <c r="AC252">
        <v>1.85</v>
      </c>
      <c r="AD252">
        <v>3.1</v>
      </c>
      <c r="AE252">
        <v>5.25</v>
      </c>
      <c r="AF252">
        <v>1.83</v>
      </c>
      <c r="AG252">
        <v>3.2</v>
      </c>
      <c r="AH252">
        <v>5</v>
      </c>
      <c r="AI252">
        <v>1.96</v>
      </c>
      <c r="AJ252">
        <v>3.26</v>
      </c>
      <c r="AK252">
        <v>5.5</v>
      </c>
      <c r="AL252">
        <v>1.88</v>
      </c>
      <c r="AM252">
        <v>3.11</v>
      </c>
      <c r="AN252">
        <v>5.07</v>
      </c>
      <c r="AO252">
        <v>1</v>
      </c>
      <c r="AP252">
        <v>0.51083203227387197</v>
      </c>
      <c r="AQ252">
        <v>0.30712600713398402</v>
      </c>
      <c r="AR252">
        <v>0.182041960592143</v>
      </c>
      <c r="AS252">
        <v>0.999999999999999</v>
      </c>
      <c r="AT252">
        <v>1.23078325678904E-3</v>
      </c>
      <c r="AU252">
        <v>1.6124088575980799</v>
      </c>
      <c r="AV252">
        <f t="shared" si="20"/>
        <v>234798302.39496884</v>
      </c>
      <c r="AW252">
        <f t="shared" si="21"/>
        <v>119942493.98687708</v>
      </c>
      <c r="AX252">
        <f t="shared" si="22"/>
        <v>72112665.096404627</v>
      </c>
      <c r="AY252">
        <f t="shared" si="23"/>
        <v>42743143.311687112</v>
      </c>
      <c r="AZ252" cm="1">
        <f t="array" ref="AZ252">_xlfn.IFS(E252="H",AW252*AI252-AV252,E252="D",AX252*AJ252-AV252,E252="A",AY252*AK252-AV252)</f>
        <v>288985.8193102181</v>
      </c>
      <c r="BA252">
        <f t="shared" si="24"/>
        <v>17303350.844345119</v>
      </c>
    </row>
    <row r="253" spans="1:53" x14ac:dyDescent="0.2">
      <c r="A253">
        <v>27</v>
      </c>
      <c r="B253" t="s">
        <v>55</v>
      </c>
      <c r="C253" s="1">
        <v>44289</v>
      </c>
      <c r="D253" t="s">
        <v>73</v>
      </c>
      <c r="E253" t="s">
        <v>74</v>
      </c>
      <c r="F253" t="s">
        <v>220</v>
      </c>
      <c r="G253" t="s">
        <v>200</v>
      </c>
      <c r="H253" t="s">
        <v>256</v>
      </c>
      <c r="I253" t="s">
        <v>221</v>
      </c>
      <c r="J253" t="s">
        <v>201</v>
      </c>
      <c r="K253" t="s">
        <v>54</v>
      </c>
      <c r="L253">
        <v>2021</v>
      </c>
      <c r="M253">
        <v>2.5</v>
      </c>
      <c r="N253">
        <v>2.5</v>
      </c>
      <c r="O253">
        <v>1.75</v>
      </c>
      <c r="P253">
        <v>2.5</v>
      </c>
      <c r="Q253">
        <v>1.72</v>
      </c>
      <c r="R253">
        <v>4.2</v>
      </c>
      <c r="S253">
        <v>4.2</v>
      </c>
      <c r="T253">
        <v>1.78</v>
      </c>
      <c r="U253">
        <v>4</v>
      </c>
      <c r="V253">
        <v>4.25</v>
      </c>
      <c r="W253">
        <v>1.85</v>
      </c>
      <c r="X253">
        <v>3.85</v>
      </c>
      <c r="Y253">
        <v>3.95</v>
      </c>
      <c r="Z253">
        <v>1.83</v>
      </c>
      <c r="AA253">
        <v>4.01</v>
      </c>
      <c r="AB253">
        <v>4.38</v>
      </c>
      <c r="AC253">
        <v>1.75</v>
      </c>
      <c r="AD253">
        <v>3.9</v>
      </c>
      <c r="AE253">
        <v>4.33</v>
      </c>
      <c r="AF253">
        <v>1.8</v>
      </c>
      <c r="AG253">
        <v>4</v>
      </c>
      <c r="AH253">
        <v>4</v>
      </c>
      <c r="AI253">
        <v>1.86</v>
      </c>
      <c r="AJ253">
        <v>4.25</v>
      </c>
      <c r="AK253">
        <v>4.58</v>
      </c>
      <c r="AL253">
        <v>1.79</v>
      </c>
      <c r="AM253">
        <v>3.99</v>
      </c>
      <c r="AN253">
        <v>4.2</v>
      </c>
      <c r="AO253">
        <v>1</v>
      </c>
      <c r="AP253">
        <v>0.54236976438331697</v>
      </c>
      <c r="AQ253">
        <v>0.23736653217716899</v>
      </c>
      <c r="AR253">
        <v>0.22026370343951299</v>
      </c>
      <c r="AS253">
        <v>1</v>
      </c>
      <c r="AT253">
        <v>8.8077617529702598E-3</v>
      </c>
      <c r="AU253">
        <v>1.62121661935105</v>
      </c>
      <c r="AV253">
        <f t="shared" si="20"/>
        <v>252101653.23931396</v>
      </c>
      <c r="AW253">
        <f t="shared" si="21"/>
        <v>136732314.26805148</v>
      </c>
      <c r="AX253">
        <f t="shared" si="22"/>
        <v>59840495.18554724</v>
      </c>
      <c r="AY253">
        <f t="shared" si="23"/>
        <v>55528843.78571523</v>
      </c>
      <c r="AZ253" cm="1">
        <f t="array" ref="AZ253">_xlfn.IFS(E253="H",AW253*AI253-AV253,E253="D",AX253*AJ253-AV253,E253="A",AY253*AK253-AV253)</f>
        <v>2220451.2992618084</v>
      </c>
      <c r="BA253">
        <f t="shared" si="24"/>
        <v>19523802.143606927</v>
      </c>
    </row>
    <row r="254" spans="1:53" x14ac:dyDescent="0.2">
      <c r="A254">
        <v>29</v>
      </c>
      <c r="B254" t="s">
        <v>55</v>
      </c>
      <c r="C254" s="1">
        <v>44289</v>
      </c>
      <c r="D254" t="s">
        <v>183</v>
      </c>
      <c r="E254" t="s">
        <v>57</v>
      </c>
      <c r="F254" t="s">
        <v>274</v>
      </c>
      <c r="G254" t="s">
        <v>181</v>
      </c>
      <c r="H254" t="s">
        <v>256</v>
      </c>
      <c r="I254" t="s">
        <v>275</v>
      </c>
      <c r="J254" t="s">
        <v>393</v>
      </c>
      <c r="K254" t="s">
        <v>54</v>
      </c>
      <c r="L254">
        <v>2021</v>
      </c>
      <c r="M254">
        <v>1.5</v>
      </c>
      <c r="N254">
        <v>1.5</v>
      </c>
      <c r="O254">
        <v>1</v>
      </c>
      <c r="P254">
        <v>1.5</v>
      </c>
      <c r="Q254">
        <v>3.3</v>
      </c>
      <c r="R254">
        <v>3</v>
      </c>
      <c r="S254">
        <v>2.37</v>
      </c>
      <c r="T254">
        <v>3.2</v>
      </c>
      <c r="U254">
        <v>3</v>
      </c>
      <c r="V254">
        <v>2.4500000000000002</v>
      </c>
      <c r="W254">
        <v>3.25</v>
      </c>
      <c r="X254">
        <v>3</v>
      </c>
      <c r="Y254">
        <v>2.4500000000000002</v>
      </c>
      <c r="Z254">
        <v>3.41</v>
      </c>
      <c r="AA254">
        <v>3.01</v>
      </c>
      <c r="AB254">
        <v>2.52</v>
      </c>
      <c r="AC254">
        <v>3.25</v>
      </c>
      <c r="AD254">
        <v>2.9</v>
      </c>
      <c r="AE254">
        <v>2.5</v>
      </c>
      <c r="AF254">
        <v>3.25</v>
      </c>
      <c r="AG254">
        <v>3</v>
      </c>
      <c r="AH254">
        <v>2.4</v>
      </c>
      <c r="AI254">
        <v>3.48</v>
      </c>
      <c r="AJ254">
        <v>3.17</v>
      </c>
      <c r="AK254">
        <v>2.5499999999999998</v>
      </c>
      <c r="AL254">
        <v>3.25</v>
      </c>
      <c r="AM254">
        <v>2.98</v>
      </c>
      <c r="AN254">
        <v>2.46</v>
      </c>
      <c r="AO254">
        <v>1</v>
      </c>
      <c r="AP254">
        <v>0.28880885773390302</v>
      </c>
      <c r="AQ254">
        <v>0.31705199524100403</v>
      </c>
      <c r="AR254">
        <v>0.39413914702509101</v>
      </c>
      <c r="AS254">
        <v>1</v>
      </c>
      <c r="AT254">
        <v>5.0548249139843399E-3</v>
      </c>
      <c r="AU254">
        <v>1.6262714442650299</v>
      </c>
      <c r="AV254">
        <f t="shared" si="20"/>
        <v>271625455.38292086</v>
      </c>
      <c r="AW254">
        <f t="shared" si="21"/>
        <v>78447837.500592753</v>
      </c>
      <c r="AX254">
        <f t="shared" si="22"/>
        <v>86119392.587401509</v>
      </c>
      <c r="AY254">
        <f t="shared" si="23"/>
        <v>107058225.29492658</v>
      </c>
      <c r="AZ254" cm="1">
        <f t="array" ref="AZ254">_xlfn.IFS(E254="H",AW254*AI254-AV254,E254="D",AX254*AJ254-AV254,E254="A",AY254*AK254-AV254)</f>
        <v>1373019.1191419363</v>
      </c>
      <c r="BA254">
        <f t="shared" si="24"/>
        <v>20896821.262748864</v>
      </c>
    </row>
    <row r="255" spans="1:53" x14ac:dyDescent="0.2">
      <c r="A255">
        <v>31</v>
      </c>
      <c r="B255" t="s">
        <v>55</v>
      </c>
      <c r="C255" s="1">
        <v>44289</v>
      </c>
      <c r="D255" t="s">
        <v>329</v>
      </c>
      <c r="E255" t="s">
        <v>49</v>
      </c>
      <c r="F255" t="s">
        <v>135</v>
      </c>
      <c r="G255" t="s">
        <v>79</v>
      </c>
      <c r="H255" t="s">
        <v>256</v>
      </c>
      <c r="I255" t="s">
        <v>136</v>
      </c>
      <c r="J255" t="s">
        <v>415</v>
      </c>
      <c r="K255" t="s">
        <v>54</v>
      </c>
      <c r="L255">
        <v>2021</v>
      </c>
      <c r="M255">
        <v>2</v>
      </c>
      <c r="N255">
        <v>1.5</v>
      </c>
      <c r="O255">
        <v>1.75</v>
      </c>
      <c r="P255">
        <v>1.5</v>
      </c>
      <c r="Q255">
        <v>1.44</v>
      </c>
      <c r="R255">
        <v>4.5</v>
      </c>
      <c r="S255">
        <v>7</v>
      </c>
      <c r="T255">
        <v>1.45</v>
      </c>
      <c r="U255">
        <v>4.4000000000000004</v>
      </c>
      <c r="V255">
        <v>7.25</v>
      </c>
      <c r="W255">
        <v>1.43</v>
      </c>
      <c r="X255">
        <v>5.25</v>
      </c>
      <c r="Y255">
        <v>6.25</v>
      </c>
      <c r="Z255">
        <v>1.46</v>
      </c>
      <c r="AA255">
        <v>4.5999999999999996</v>
      </c>
      <c r="AB255">
        <v>6.82</v>
      </c>
      <c r="AC255">
        <v>1.42</v>
      </c>
      <c r="AD255">
        <v>4.4000000000000004</v>
      </c>
      <c r="AE255">
        <v>7.5</v>
      </c>
      <c r="AF255">
        <v>1.45</v>
      </c>
      <c r="AG255">
        <v>4.4000000000000004</v>
      </c>
      <c r="AH255">
        <v>7.5</v>
      </c>
      <c r="AI255">
        <v>1.5</v>
      </c>
      <c r="AJ255">
        <v>5.25</v>
      </c>
      <c r="AK255">
        <v>7.5</v>
      </c>
      <c r="AL255">
        <v>1.45</v>
      </c>
      <c r="AM255">
        <v>4.57</v>
      </c>
      <c r="AN255">
        <v>6.91</v>
      </c>
      <c r="AO255">
        <v>1</v>
      </c>
      <c r="AP255">
        <v>0.67307692307692302</v>
      </c>
      <c r="AQ255">
        <v>0.19230769230769201</v>
      </c>
      <c r="AR255">
        <v>0.134615384615384</v>
      </c>
      <c r="AS255">
        <v>1</v>
      </c>
      <c r="AT255">
        <v>9.6153846153845795E-3</v>
      </c>
      <c r="AU255">
        <v>1.63588682888041</v>
      </c>
      <c r="AV255">
        <f t="shared" si="20"/>
        <v>292522276.6456697</v>
      </c>
      <c r="AW255">
        <f t="shared" si="21"/>
        <v>196889993.89612386</v>
      </c>
      <c r="AX255">
        <f t="shared" si="22"/>
        <v>56254283.970321096</v>
      </c>
      <c r="AY255">
        <f t="shared" si="23"/>
        <v>39377998.779224768</v>
      </c>
      <c r="AZ255" cm="1">
        <f t="array" ref="AZ255">_xlfn.IFS(E255="H",AW255*AI255-AV255,E255="D",AX255*AJ255-AV255,E255="A",AY255*AK255-AV255)</f>
        <v>2812714.1985160708</v>
      </c>
      <c r="BA255">
        <f t="shared" si="24"/>
        <v>23709535.461264934</v>
      </c>
    </row>
    <row r="256" spans="1:53" x14ac:dyDescent="0.2">
      <c r="A256">
        <v>30</v>
      </c>
      <c r="B256" t="s">
        <v>55</v>
      </c>
      <c r="C256" s="1">
        <v>44289</v>
      </c>
      <c r="D256" t="s">
        <v>99</v>
      </c>
      <c r="E256" t="s">
        <v>74</v>
      </c>
      <c r="F256" t="s">
        <v>153</v>
      </c>
      <c r="G256" t="s">
        <v>101</v>
      </c>
      <c r="H256" t="s">
        <v>256</v>
      </c>
      <c r="I256" t="s">
        <v>179</v>
      </c>
      <c r="J256" t="s">
        <v>129</v>
      </c>
      <c r="K256" t="s">
        <v>54</v>
      </c>
      <c r="L256">
        <v>2021</v>
      </c>
      <c r="M256">
        <v>1.5</v>
      </c>
      <c r="N256">
        <v>2.5</v>
      </c>
      <c r="O256">
        <v>3</v>
      </c>
      <c r="P256">
        <v>2.75</v>
      </c>
      <c r="Q256">
        <v>6</v>
      </c>
      <c r="R256">
        <v>4.2</v>
      </c>
      <c r="S256">
        <v>1.53</v>
      </c>
      <c r="T256">
        <v>6.25</v>
      </c>
      <c r="U256">
        <v>4.0999999999999996</v>
      </c>
      <c r="V256">
        <v>1.55</v>
      </c>
      <c r="W256">
        <v>6.75</v>
      </c>
      <c r="X256">
        <v>3.85</v>
      </c>
      <c r="Y256">
        <v>1.57</v>
      </c>
      <c r="Z256">
        <v>6.24</v>
      </c>
      <c r="AA256">
        <v>4.12</v>
      </c>
      <c r="AB256">
        <v>1.61</v>
      </c>
      <c r="AC256">
        <v>6.5</v>
      </c>
      <c r="AD256">
        <v>4</v>
      </c>
      <c r="AE256">
        <v>1.55</v>
      </c>
      <c r="AF256">
        <v>6</v>
      </c>
      <c r="AG256">
        <v>4</v>
      </c>
      <c r="AH256">
        <v>1.57</v>
      </c>
      <c r="AI256">
        <v>6.75</v>
      </c>
      <c r="AJ256">
        <v>4.33</v>
      </c>
      <c r="AK256">
        <v>1.63</v>
      </c>
      <c r="AL256">
        <v>6.16</v>
      </c>
      <c r="AM256">
        <v>4.07</v>
      </c>
      <c r="AN256">
        <v>1.57</v>
      </c>
      <c r="AO256">
        <v>1</v>
      </c>
      <c r="AP256">
        <v>0.149253826031606</v>
      </c>
      <c r="AQ256">
        <v>0.232670514021557</v>
      </c>
      <c r="AR256">
        <v>0.618075659946836</v>
      </c>
      <c r="AS256">
        <v>1</v>
      </c>
      <c r="AT256">
        <v>7.4633257133431804E-3</v>
      </c>
      <c r="AU256">
        <v>1.6433501545937601</v>
      </c>
      <c r="AV256">
        <f t="shared" si="20"/>
        <v>316231812.10693461</v>
      </c>
      <c r="AW256">
        <f t="shared" si="21"/>
        <v>47198807.869868055</v>
      </c>
      <c r="AX256">
        <f t="shared" si="22"/>
        <v>73577818.272889003</v>
      </c>
      <c r="AY256">
        <f t="shared" si="23"/>
        <v>195455185.96417755</v>
      </c>
      <c r="AZ256" cm="1">
        <f t="array" ref="AZ256">_xlfn.IFS(E256="H",AW256*AI256-AV256,E256="D",AX256*AJ256-AV256,E256="A",AY256*AK256-AV256)</f>
        <v>2360141.0146747828</v>
      </c>
      <c r="BA256">
        <f t="shared" si="24"/>
        <v>26069676.475939717</v>
      </c>
    </row>
    <row r="257" spans="1:53" x14ac:dyDescent="0.2">
      <c r="A257">
        <v>31</v>
      </c>
      <c r="B257" t="s">
        <v>67</v>
      </c>
      <c r="C257" s="1">
        <v>44290</v>
      </c>
      <c r="D257" t="s">
        <v>329</v>
      </c>
      <c r="E257" t="s">
        <v>57</v>
      </c>
      <c r="F257" t="s">
        <v>51</v>
      </c>
      <c r="G257" t="s">
        <v>64</v>
      </c>
      <c r="H257" t="s">
        <v>256</v>
      </c>
      <c r="I257" t="s">
        <v>80</v>
      </c>
      <c r="J257" t="s">
        <v>416</v>
      </c>
      <c r="K257" t="s">
        <v>54</v>
      </c>
      <c r="L257">
        <v>2021</v>
      </c>
      <c r="M257">
        <v>1</v>
      </c>
      <c r="N257">
        <v>1.5</v>
      </c>
      <c r="O257">
        <v>1.5</v>
      </c>
      <c r="P257">
        <v>1</v>
      </c>
      <c r="Q257">
        <v>2.62</v>
      </c>
      <c r="R257">
        <v>3.2</v>
      </c>
      <c r="S257">
        <v>2.75</v>
      </c>
      <c r="T257">
        <v>2.5499999999999998</v>
      </c>
      <c r="U257">
        <v>3.3</v>
      </c>
      <c r="V257">
        <v>2.8</v>
      </c>
      <c r="W257">
        <v>2.65</v>
      </c>
      <c r="X257">
        <v>3.2</v>
      </c>
      <c r="Y257">
        <v>2.75</v>
      </c>
      <c r="Z257">
        <v>2.75</v>
      </c>
      <c r="AA257">
        <v>3.34</v>
      </c>
      <c r="AB257">
        <v>2.79</v>
      </c>
      <c r="AC257">
        <v>2.62</v>
      </c>
      <c r="AD257">
        <v>3.2</v>
      </c>
      <c r="AE257">
        <v>2.75</v>
      </c>
      <c r="AF257">
        <v>2.6</v>
      </c>
      <c r="AG257">
        <v>3.13</v>
      </c>
      <c r="AH257">
        <v>2.75</v>
      </c>
      <c r="AI257">
        <v>2.77</v>
      </c>
      <c r="AJ257">
        <v>3.42</v>
      </c>
      <c r="AK257">
        <v>2.92</v>
      </c>
      <c r="AL257">
        <v>2.61</v>
      </c>
      <c r="AM257">
        <v>3.26</v>
      </c>
      <c r="AN257">
        <v>2.77</v>
      </c>
      <c r="AO257">
        <v>1</v>
      </c>
      <c r="AP257">
        <v>0.36250644325219</v>
      </c>
      <c r="AQ257">
        <v>0.293609019827066</v>
      </c>
      <c r="AR257">
        <v>0.343884536920742</v>
      </c>
      <c r="AS257">
        <v>1</v>
      </c>
      <c r="AT257">
        <v>4.1428478085683198E-3</v>
      </c>
      <c r="AU257">
        <v>1.64749300240233</v>
      </c>
      <c r="AV257">
        <f t="shared" si="20"/>
        <v>342301488.5828743</v>
      </c>
      <c r="AW257">
        <f t="shared" si="21"/>
        <v>124086495.14610812</v>
      </c>
      <c r="AX257">
        <f t="shared" si="22"/>
        <v>100502804.54816361</v>
      </c>
      <c r="AY257">
        <f t="shared" si="23"/>
        <v>117712188.88860258</v>
      </c>
      <c r="AZ257" cm="1">
        <f t="array" ref="AZ257">_xlfn.IFS(E257="H",AW257*AI257-AV257,E257="D",AX257*AJ257-AV257,E257="A",AY257*AK257-AV257)</f>
        <v>1418102.9718452096</v>
      </c>
      <c r="BA257">
        <f t="shared" si="24"/>
        <v>27487779.447784927</v>
      </c>
    </row>
    <row r="258" spans="1:53" x14ac:dyDescent="0.2">
      <c r="A258">
        <v>29</v>
      </c>
      <c r="B258" t="s">
        <v>198</v>
      </c>
      <c r="C258" s="1">
        <v>44291</v>
      </c>
      <c r="D258" t="s">
        <v>68</v>
      </c>
      <c r="E258" t="s">
        <v>49</v>
      </c>
      <c r="F258" t="s">
        <v>87</v>
      </c>
      <c r="G258" t="s">
        <v>166</v>
      </c>
      <c r="H258" t="s">
        <v>256</v>
      </c>
      <c r="I258" t="s">
        <v>167</v>
      </c>
      <c r="J258" t="s">
        <v>385</v>
      </c>
      <c r="K258" t="s">
        <v>54</v>
      </c>
      <c r="L258">
        <v>2021</v>
      </c>
      <c r="M258">
        <v>2.5</v>
      </c>
      <c r="N258">
        <v>3.25</v>
      </c>
      <c r="O258">
        <v>0.75</v>
      </c>
      <c r="P258">
        <v>0.5</v>
      </c>
      <c r="Q258">
        <v>1.1200000000000001</v>
      </c>
      <c r="R258">
        <v>9</v>
      </c>
      <c r="S258">
        <v>19</v>
      </c>
      <c r="T258">
        <v>1.1299999999999999</v>
      </c>
      <c r="U258">
        <v>9</v>
      </c>
      <c r="V258">
        <v>18.5</v>
      </c>
      <c r="W258">
        <v>1.1200000000000001</v>
      </c>
      <c r="X258">
        <v>8</v>
      </c>
      <c r="Y258">
        <v>25</v>
      </c>
      <c r="Z258">
        <v>1.1299999999999999</v>
      </c>
      <c r="AA258">
        <v>9.82</v>
      </c>
      <c r="AB258">
        <v>22.55</v>
      </c>
      <c r="AC258">
        <v>1.1200000000000001</v>
      </c>
      <c r="AD258">
        <v>8.5</v>
      </c>
      <c r="AE258">
        <v>21</v>
      </c>
      <c r="AF258">
        <v>1.1000000000000001</v>
      </c>
      <c r="AG258">
        <v>9.5</v>
      </c>
      <c r="AH258">
        <v>22</v>
      </c>
      <c r="AI258">
        <v>1.17</v>
      </c>
      <c r="AJ258">
        <v>9.9</v>
      </c>
      <c r="AK258">
        <v>26</v>
      </c>
      <c r="AL258">
        <v>1.1299999999999999</v>
      </c>
      <c r="AM258">
        <v>9.0500000000000007</v>
      </c>
      <c r="AN258">
        <v>20.100000000000001</v>
      </c>
      <c r="AO258">
        <v>1</v>
      </c>
      <c r="AP258">
        <v>0.85971082454083603</v>
      </c>
      <c r="AQ258">
        <v>0.101602188354826</v>
      </c>
      <c r="AR258">
        <v>3.86869871043376E-2</v>
      </c>
      <c r="AS258">
        <v>1</v>
      </c>
      <c r="AT258">
        <v>5.8616647127784898E-3</v>
      </c>
      <c r="AU258">
        <v>1.6533546671151</v>
      </c>
      <c r="AV258">
        <f t="shared" si="20"/>
        <v>369789268.0306592</v>
      </c>
      <c r="AW258">
        <f t="shared" si="21"/>
        <v>317911836.52499032</v>
      </c>
      <c r="AX258">
        <f t="shared" si="22"/>
        <v>37571398.862044312</v>
      </c>
      <c r="AY258">
        <f t="shared" si="23"/>
        <v>14306032.643624563</v>
      </c>
      <c r="AZ258" cm="1">
        <f t="array" ref="AZ258">_xlfn.IFS(E258="H",AW258*AI258-AV258,E258="D",AX258*AJ258-AV258,E258="A",AY258*AK258-AV258)</f>
        <v>2167580.7035794258</v>
      </c>
      <c r="BA258">
        <f t="shared" si="24"/>
        <v>29655360.151364353</v>
      </c>
    </row>
    <row r="259" spans="1:53" x14ac:dyDescent="0.2">
      <c r="A259">
        <v>30</v>
      </c>
      <c r="B259" t="s">
        <v>67</v>
      </c>
      <c r="C259" s="1">
        <v>44297</v>
      </c>
      <c r="D259" t="s">
        <v>183</v>
      </c>
      <c r="E259" t="s">
        <v>74</v>
      </c>
      <c r="F259" t="s">
        <v>278</v>
      </c>
      <c r="G259" t="s">
        <v>303</v>
      </c>
      <c r="H259" t="s">
        <v>256</v>
      </c>
      <c r="I259" t="s">
        <v>275</v>
      </c>
      <c r="J259" t="s">
        <v>208</v>
      </c>
      <c r="K259" t="s">
        <v>54</v>
      </c>
      <c r="L259">
        <v>2021</v>
      </c>
      <c r="M259">
        <v>1.75</v>
      </c>
      <c r="N259">
        <v>1.25</v>
      </c>
      <c r="O259">
        <v>1.75</v>
      </c>
      <c r="P259">
        <v>1.75</v>
      </c>
      <c r="Q259">
        <v>4.75</v>
      </c>
      <c r="R259">
        <v>3.75</v>
      </c>
      <c r="S259">
        <v>1.72</v>
      </c>
      <c r="T259">
        <v>4.75</v>
      </c>
      <c r="U259">
        <v>4</v>
      </c>
      <c r="V259">
        <v>1.7</v>
      </c>
      <c r="W259">
        <v>4.5999999999999996</v>
      </c>
      <c r="X259">
        <v>3.95</v>
      </c>
      <c r="Y259">
        <v>1.73</v>
      </c>
      <c r="Z259">
        <v>4.84</v>
      </c>
      <c r="AA259">
        <v>4.03</v>
      </c>
      <c r="AB259">
        <v>1.75</v>
      </c>
      <c r="AC259">
        <v>4.75</v>
      </c>
      <c r="AD259">
        <v>4</v>
      </c>
      <c r="AE259">
        <v>1.7</v>
      </c>
      <c r="AF259">
        <v>4.5</v>
      </c>
      <c r="AG259">
        <v>3.7</v>
      </c>
      <c r="AH259">
        <v>1.75</v>
      </c>
      <c r="AI259">
        <v>5.0999999999999996</v>
      </c>
      <c r="AJ259">
        <v>4.1100000000000003</v>
      </c>
      <c r="AK259">
        <v>1.8</v>
      </c>
      <c r="AL259">
        <v>4.6500000000000004</v>
      </c>
      <c r="AM259">
        <v>3.92</v>
      </c>
      <c r="AN259">
        <v>1.73</v>
      </c>
      <c r="AO259">
        <v>1</v>
      </c>
      <c r="AP259">
        <v>0.19707504195636499</v>
      </c>
      <c r="AQ259">
        <v>0.244545672500599</v>
      </c>
      <c r="AR259">
        <v>0.55837928554303495</v>
      </c>
      <c r="AS259">
        <v>1</v>
      </c>
      <c r="AT259">
        <v>5.0827139774636196E-3</v>
      </c>
      <c r="AU259">
        <v>1.6584373810925701</v>
      </c>
      <c r="AV259">
        <f t="shared" si="20"/>
        <v>399444628.18202353</v>
      </c>
      <c r="AW259">
        <f t="shared" si="21"/>
        <v>78720566.858217061</v>
      </c>
      <c r="AX259">
        <f t="shared" si="22"/>
        <v>97682455.225524798</v>
      </c>
      <c r="AY259">
        <f t="shared" si="23"/>
        <v>223041606.09828165</v>
      </c>
      <c r="AZ259" cm="1">
        <f t="array" ref="AZ259">_xlfn.IFS(E259="H",AW259*AI259-AV259,E259="D",AX259*AJ259-AV259,E259="A",AY259*AK259-AV259)</f>
        <v>2030262.79488343</v>
      </c>
      <c r="BA259">
        <f t="shared" si="24"/>
        <v>31685622.946247783</v>
      </c>
    </row>
    <row r="260" spans="1:53" x14ac:dyDescent="0.2">
      <c r="A260">
        <v>30</v>
      </c>
      <c r="B260" t="s">
        <v>67</v>
      </c>
      <c r="C260" s="1">
        <v>44297</v>
      </c>
      <c r="D260" t="s">
        <v>107</v>
      </c>
      <c r="E260" t="s">
        <v>49</v>
      </c>
      <c r="F260" t="s">
        <v>108</v>
      </c>
      <c r="G260" t="s">
        <v>241</v>
      </c>
      <c r="H260" t="s">
        <v>256</v>
      </c>
      <c r="I260" t="s">
        <v>110</v>
      </c>
      <c r="J260" t="s">
        <v>413</v>
      </c>
      <c r="K260" t="s">
        <v>54</v>
      </c>
      <c r="L260">
        <v>2021</v>
      </c>
      <c r="M260">
        <v>1.5</v>
      </c>
      <c r="N260">
        <v>1.25</v>
      </c>
      <c r="O260">
        <v>1</v>
      </c>
      <c r="P260">
        <v>1.25</v>
      </c>
      <c r="Q260">
        <v>1.72</v>
      </c>
      <c r="R260">
        <v>4</v>
      </c>
      <c r="S260">
        <v>4.33</v>
      </c>
      <c r="T260">
        <v>1.67</v>
      </c>
      <c r="U260">
        <v>4.0999999999999996</v>
      </c>
      <c r="V260">
        <v>4.75</v>
      </c>
      <c r="W260">
        <v>1.75</v>
      </c>
      <c r="X260">
        <v>4.0999999999999996</v>
      </c>
      <c r="Y260">
        <v>4.3</v>
      </c>
      <c r="Z260">
        <v>1.78</v>
      </c>
      <c r="AA260">
        <v>4.17</v>
      </c>
      <c r="AB260">
        <v>4.4800000000000004</v>
      </c>
      <c r="AC260">
        <v>1.7</v>
      </c>
      <c r="AD260">
        <v>4.2</v>
      </c>
      <c r="AE260">
        <v>4.5999999999999996</v>
      </c>
      <c r="AF260">
        <v>1.75</v>
      </c>
      <c r="AG260">
        <v>3.8</v>
      </c>
      <c r="AH260">
        <v>4.4000000000000004</v>
      </c>
      <c r="AI260">
        <v>1.8</v>
      </c>
      <c r="AJ260">
        <v>4.3499999999999996</v>
      </c>
      <c r="AK260">
        <v>4.75</v>
      </c>
      <c r="AL260">
        <v>1.74</v>
      </c>
      <c r="AM260">
        <v>4.05</v>
      </c>
      <c r="AN260">
        <v>4.4400000000000004</v>
      </c>
      <c r="AO260">
        <v>1</v>
      </c>
      <c r="AP260">
        <v>0.55780522372949903</v>
      </c>
      <c r="AQ260">
        <v>0.230815954646689</v>
      </c>
      <c r="AR260">
        <v>0.21137882162381</v>
      </c>
      <c r="AS260">
        <v>1</v>
      </c>
      <c r="AT260">
        <v>4.0494027130999399E-3</v>
      </c>
      <c r="AU260">
        <v>1.6624867838056701</v>
      </c>
      <c r="AV260">
        <f t="shared" si="20"/>
        <v>431130251.12827128</v>
      </c>
      <c r="AW260">
        <f t="shared" si="21"/>
        <v>240486706.18716085</v>
      </c>
      <c r="AX260">
        <f t="shared" si="22"/>
        <v>99511740.491238967</v>
      </c>
      <c r="AY260">
        <f t="shared" si="23"/>
        <v>91131804.449871466</v>
      </c>
      <c r="AZ260" cm="1">
        <f t="array" ref="AZ260">_xlfn.IFS(E260="H",AW260*AI260-AV260,E260="D",AX260*AJ260-AV260,E260="A",AY260*AK260-AV260)</f>
        <v>1745820.0086182356</v>
      </c>
      <c r="BA260">
        <f t="shared" si="24"/>
        <v>33431442.954866018</v>
      </c>
    </row>
    <row r="261" spans="1:53" x14ac:dyDescent="0.2">
      <c r="A261">
        <v>31</v>
      </c>
      <c r="B261" t="s">
        <v>67</v>
      </c>
      <c r="C261" s="1">
        <v>44297</v>
      </c>
      <c r="D261" t="s">
        <v>226</v>
      </c>
      <c r="E261" t="s">
        <v>74</v>
      </c>
      <c r="F261" t="s">
        <v>227</v>
      </c>
      <c r="G261" t="s">
        <v>127</v>
      </c>
      <c r="H261" t="s">
        <v>256</v>
      </c>
      <c r="I261" t="s">
        <v>228</v>
      </c>
      <c r="J261" t="s">
        <v>180</v>
      </c>
      <c r="K261" t="s">
        <v>54</v>
      </c>
      <c r="L261">
        <v>2021</v>
      </c>
      <c r="M261">
        <v>2.25</v>
      </c>
      <c r="N261">
        <v>2.5</v>
      </c>
      <c r="O261">
        <v>1.5</v>
      </c>
      <c r="P261">
        <v>0.75</v>
      </c>
      <c r="Q261">
        <v>2.87</v>
      </c>
      <c r="R261">
        <v>3.4</v>
      </c>
      <c r="S261">
        <v>2.4500000000000002</v>
      </c>
      <c r="T261">
        <v>2.9</v>
      </c>
      <c r="U261">
        <v>3.4</v>
      </c>
      <c r="V261">
        <v>2.4500000000000002</v>
      </c>
      <c r="W261">
        <v>2.85</v>
      </c>
      <c r="X261">
        <v>3.4</v>
      </c>
      <c r="Y261">
        <v>2.5</v>
      </c>
      <c r="Z261">
        <v>2.9</v>
      </c>
      <c r="AA261">
        <v>3.49</v>
      </c>
      <c r="AB261">
        <v>2.56</v>
      </c>
      <c r="AC261">
        <v>2.88</v>
      </c>
      <c r="AD261">
        <v>3.4</v>
      </c>
      <c r="AE261">
        <v>2.4500000000000002</v>
      </c>
      <c r="AF261">
        <v>2.88</v>
      </c>
      <c r="AG261">
        <v>3.4</v>
      </c>
      <c r="AH261">
        <v>2.4500000000000002</v>
      </c>
      <c r="AI261">
        <v>2.98</v>
      </c>
      <c r="AJ261">
        <v>3.65</v>
      </c>
      <c r="AK261">
        <v>2.59</v>
      </c>
      <c r="AL261">
        <v>2.87</v>
      </c>
      <c r="AM261">
        <v>3.44</v>
      </c>
      <c r="AN261">
        <v>2.4900000000000002</v>
      </c>
      <c r="AO261">
        <v>1</v>
      </c>
      <c r="AP261">
        <v>0.33703879324175401</v>
      </c>
      <c r="AQ261">
        <v>0.27517139831792498</v>
      </c>
      <c r="AR261">
        <v>0.38778980844031902</v>
      </c>
      <c r="AS261">
        <v>1</v>
      </c>
      <c r="AT261">
        <v>4.3756038604285596E-3</v>
      </c>
      <c r="AU261">
        <v>1.6668623876661</v>
      </c>
      <c r="AV261">
        <f t="shared" si="20"/>
        <v>464561694.08313727</v>
      </c>
      <c r="AW261">
        <f t="shared" si="21"/>
        <v>156575312.7601257</v>
      </c>
      <c r="AX261">
        <f t="shared" si="22"/>
        <v>127834090.96580125</v>
      </c>
      <c r="AY261">
        <f t="shared" si="23"/>
        <v>180152290.35721028</v>
      </c>
      <c r="AZ261" cm="1">
        <f t="array" ref="AZ261">_xlfn.IFS(E261="H",AW261*AI261-AV261,E261="D",AX261*AJ261-AV261,E261="A",AY261*AK261-AV261)</f>
        <v>2032737.942037344</v>
      </c>
      <c r="BA261">
        <f t="shared" si="24"/>
        <v>35464180.896903366</v>
      </c>
    </row>
    <row r="262" spans="1:53" x14ac:dyDescent="0.2">
      <c r="A262">
        <v>31</v>
      </c>
      <c r="B262" t="s">
        <v>198</v>
      </c>
      <c r="C262" s="1">
        <v>44298</v>
      </c>
      <c r="D262" t="s">
        <v>254</v>
      </c>
      <c r="E262" t="s">
        <v>49</v>
      </c>
      <c r="F262" t="s">
        <v>358</v>
      </c>
      <c r="G262" t="s">
        <v>152</v>
      </c>
      <c r="H262" t="s">
        <v>256</v>
      </c>
      <c r="I262" t="s">
        <v>359</v>
      </c>
      <c r="J262" t="s">
        <v>283</v>
      </c>
      <c r="K262" t="s">
        <v>54</v>
      </c>
      <c r="L262">
        <v>2021</v>
      </c>
      <c r="M262">
        <v>1.25</v>
      </c>
      <c r="N262">
        <v>0.5</v>
      </c>
      <c r="O262">
        <v>0.75</v>
      </c>
      <c r="P262">
        <v>1</v>
      </c>
      <c r="Q262">
        <v>3.6</v>
      </c>
      <c r="R262">
        <v>3.3</v>
      </c>
      <c r="S262">
        <v>2.1</v>
      </c>
      <c r="T262">
        <v>3.6</v>
      </c>
      <c r="U262">
        <v>3.1</v>
      </c>
      <c r="V262">
        <v>2.2000000000000002</v>
      </c>
      <c r="W262">
        <v>3.5</v>
      </c>
      <c r="X262">
        <v>3.25</v>
      </c>
      <c r="Y262">
        <v>2.2000000000000002</v>
      </c>
      <c r="Z262">
        <v>3.69</v>
      </c>
      <c r="AA262">
        <v>3.34</v>
      </c>
      <c r="AB262">
        <v>2.21</v>
      </c>
      <c r="AC262">
        <v>3.5</v>
      </c>
      <c r="AD262">
        <v>3.2</v>
      </c>
      <c r="AE262">
        <v>2.2000000000000002</v>
      </c>
      <c r="AF262">
        <v>3.4</v>
      </c>
      <c r="AG262">
        <v>3.3</v>
      </c>
      <c r="AH262">
        <v>2.2000000000000002</v>
      </c>
      <c r="AI262">
        <v>3.7</v>
      </c>
      <c r="AJ262">
        <v>3.58</v>
      </c>
      <c r="AK262">
        <v>2.2400000000000002</v>
      </c>
      <c r="AL262">
        <v>3.55</v>
      </c>
      <c r="AM262">
        <v>3.28</v>
      </c>
      <c r="AN262">
        <v>2.19</v>
      </c>
      <c r="AO262">
        <v>1</v>
      </c>
      <c r="AP262">
        <v>0.27134794201643098</v>
      </c>
      <c r="AQ262">
        <v>0.28044340375999799</v>
      </c>
      <c r="AR262">
        <v>0.44820865422356898</v>
      </c>
      <c r="AS262">
        <v>1</v>
      </c>
      <c r="AT262">
        <v>3.98738546079613E-3</v>
      </c>
      <c r="AU262">
        <v>1.6708497731268901</v>
      </c>
      <c r="AV262">
        <f t="shared" si="20"/>
        <v>500025874.98004067</v>
      </c>
      <c r="AW262">
        <f t="shared" si="21"/>
        <v>135680992.13079944</v>
      </c>
      <c r="AX262">
        <f t="shared" si="22"/>
        <v>140228958.34747431</v>
      </c>
      <c r="AY262">
        <f t="shared" si="23"/>
        <v>224115924.50176692</v>
      </c>
      <c r="AZ262" cm="1">
        <f t="array" ref="AZ262">_xlfn.IFS(E262="H",AW262*AI262-AV262,E262="D",AX262*AJ262-AV262,E262="A",AY262*AK262-AV262)</f>
        <v>1993795.9039173126</v>
      </c>
      <c r="BA262">
        <f t="shared" si="24"/>
        <v>37457976.800820678</v>
      </c>
    </row>
    <row r="263" spans="1:53" x14ac:dyDescent="0.2">
      <c r="A263">
        <v>33</v>
      </c>
      <c r="B263" t="s">
        <v>67</v>
      </c>
      <c r="C263" s="1">
        <v>44304</v>
      </c>
      <c r="D263" t="s">
        <v>378</v>
      </c>
      <c r="E263" t="s">
        <v>49</v>
      </c>
      <c r="F263" t="s">
        <v>291</v>
      </c>
      <c r="G263" t="s">
        <v>113</v>
      </c>
      <c r="H263" t="s">
        <v>256</v>
      </c>
      <c r="I263" t="s">
        <v>292</v>
      </c>
      <c r="J263" t="s">
        <v>349</v>
      </c>
      <c r="K263" t="s">
        <v>54</v>
      </c>
      <c r="L263">
        <v>2021</v>
      </c>
      <c r="M263">
        <v>1.75</v>
      </c>
      <c r="N263">
        <v>1</v>
      </c>
      <c r="O263">
        <v>0.25</v>
      </c>
      <c r="P263">
        <v>0.25</v>
      </c>
      <c r="Q263">
        <v>1.4</v>
      </c>
      <c r="R263">
        <v>4.33</v>
      </c>
      <c r="S263">
        <v>9</v>
      </c>
      <c r="T263">
        <v>1.42</v>
      </c>
      <c r="U263">
        <v>4.33</v>
      </c>
      <c r="V263">
        <v>8.5</v>
      </c>
      <c r="W263">
        <v>1.4</v>
      </c>
      <c r="X263">
        <v>4.4000000000000004</v>
      </c>
      <c r="Y263">
        <v>9.5</v>
      </c>
      <c r="Z263">
        <v>1.45</v>
      </c>
      <c r="AA263">
        <v>4.32</v>
      </c>
      <c r="AB263">
        <v>9.5299999999999994</v>
      </c>
      <c r="AC263">
        <v>1.44</v>
      </c>
      <c r="AD263">
        <v>4.2</v>
      </c>
      <c r="AE263">
        <v>8.5</v>
      </c>
      <c r="AF263">
        <v>1.44</v>
      </c>
      <c r="AG263">
        <v>4.0999999999999996</v>
      </c>
      <c r="AH263">
        <v>8</v>
      </c>
      <c r="AI263">
        <v>1.5</v>
      </c>
      <c r="AJ263">
        <v>4.4000000000000004</v>
      </c>
      <c r="AK263">
        <v>9.5299999999999994</v>
      </c>
      <c r="AL263">
        <v>1.44</v>
      </c>
      <c r="AM263">
        <v>4.25</v>
      </c>
      <c r="AN263">
        <v>8.51</v>
      </c>
      <c r="AO263">
        <v>1</v>
      </c>
      <c r="AP263">
        <v>0.667420058255208</v>
      </c>
      <c r="AQ263">
        <v>0.22752956531427501</v>
      </c>
      <c r="AR263">
        <v>0.105050376430515</v>
      </c>
      <c r="AS263">
        <v>1</v>
      </c>
      <c r="AT263">
        <v>1.1300873828132801E-3</v>
      </c>
      <c r="AU263">
        <v>1.67197986050971</v>
      </c>
      <c r="AV263">
        <f t="shared" si="20"/>
        <v>537483851.78086138</v>
      </c>
      <c r="AW263">
        <f t="shared" si="21"/>
        <v>358727503.66681653</v>
      </c>
      <c r="AX263">
        <f t="shared" si="22"/>
        <v>122293467.15914197</v>
      </c>
      <c r="AY263">
        <f t="shared" si="23"/>
        <v>56462880.954902917</v>
      </c>
      <c r="AZ263" cm="1">
        <f t="array" ref="AZ263">_xlfn.IFS(E263="H",AW263*AI263-AV263,E263="D",AX263*AJ263-AV263,E263="A",AY263*AK263-AV263)</f>
        <v>607403.719363451</v>
      </c>
      <c r="BA263">
        <f t="shared" si="24"/>
        <v>38065380.520184129</v>
      </c>
    </row>
    <row r="264" spans="1:53" x14ac:dyDescent="0.2">
      <c r="A264">
        <v>32</v>
      </c>
      <c r="B264" t="s">
        <v>202</v>
      </c>
      <c r="C264" s="1">
        <v>44307</v>
      </c>
      <c r="D264" t="s">
        <v>48</v>
      </c>
      <c r="E264" t="s">
        <v>49</v>
      </c>
      <c r="F264" t="s">
        <v>132</v>
      </c>
      <c r="G264" t="s">
        <v>187</v>
      </c>
      <c r="H264" t="s">
        <v>256</v>
      </c>
      <c r="I264" t="s">
        <v>321</v>
      </c>
      <c r="J264" t="s">
        <v>276</v>
      </c>
      <c r="K264" t="s">
        <v>54</v>
      </c>
      <c r="L264">
        <v>2021</v>
      </c>
      <c r="M264">
        <v>2.25</v>
      </c>
      <c r="N264">
        <v>2</v>
      </c>
      <c r="O264">
        <v>0.75</v>
      </c>
      <c r="P264">
        <v>2.5</v>
      </c>
      <c r="Q264">
        <v>1.25</v>
      </c>
      <c r="R264">
        <v>6</v>
      </c>
      <c r="S264">
        <v>11</v>
      </c>
      <c r="T264">
        <v>1.26</v>
      </c>
      <c r="U264">
        <v>6</v>
      </c>
      <c r="V264">
        <v>11</v>
      </c>
      <c r="W264">
        <v>1.27</v>
      </c>
      <c r="X264">
        <v>6</v>
      </c>
      <c r="Y264">
        <v>11</v>
      </c>
      <c r="Z264">
        <v>1.24</v>
      </c>
      <c r="AA264">
        <v>6.09</v>
      </c>
      <c r="AB264">
        <v>11.43</v>
      </c>
      <c r="AC264">
        <v>1.25</v>
      </c>
      <c r="AD264">
        <v>5.8</v>
      </c>
      <c r="AE264">
        <v>13</v>
      </c>
      <c r="AF264">
        <v>1.22</v>
      </c>
      <c r="AG264">
        <v>6</v>
      </c>
      <c r="AH264">
        <v>13</v>
      </c>
      <c r="AI264">
        <v>1.3</v>
      </c>
      <c r="AJ264">
        <v>6.75</v>
      </c>
      <c r="AK264">
        <v>13.25</v>
      </c>
      <c r="AL264">
        <v>1.26</v>
      </c>
      <c r="AM264">
        <v>6.09</v>
      </c>
      <c r="AN264">
        <v>11.29</v>
      </c>
      <c r="AO264">
        <v>1</v>
      </c>
      <c r="AP264">
        <v>0.77476989713048094</v>
      </c>
      <c r="AQ264">
        <v>0.14921494315105499</v>
      </c>
      <c r="AR264">
        <v>7.6015159718462302E-2</v>
      </c>
      <c r="AS264">
        <v>1</v>
      </c>
      <c r="AT264">
        <v>7.2008662696263397E-3</v>
      </c>
      <c r="AU264">
        <v>1.6791807267793299</v>
      </c>
      <c r="AV264">
        <f t="shared" si="20"/>
        <v>575549232.30104554</v>
      </c>
      <c r="AW264">
        <f t="shared" si="21"/>
        <v>445918219.50340885</v>
      </c>
      <c r="AX264">
        <f t="shared" si="22"/>
        <v>85880545.978434294</v>
      </c>
      <c r="AY264">
        <f t="shared" si="23"/>
        <v>43750466.819202378</v>
      </c>
      <c r="AZ264" cm="1">
        <f t="array" ref="AZ264">_xlfn.IFS(E264="H",AW264*AI264-AV264,E264="D",AX264*AJ264-AV264,E264="A",AY264*AK264-AV264)</f>
        <v>4144453.053385973</v>
      </c>
      <c r="BA264">
        <f t="shared" si="24"/>
        <v>42209833.573570102</v>
      </c>
    </row>
    <row r="265" spans="1:53" x14ac:dyDescent="0.2">
      <c r="A265">
        <v>31</v>
      </c>
      <c r="B265" t="s">
        <v>202</v>
      </c>
      <c r="C265" s="1">
        <v>44307</v>
      </c>
      <c r="D265" t="s">
        <v>68</v>
      </c>
      <c r="E265" t="s">
        <v>49</v>
      </c>
      <c r="F265" t="s">
        <v>286</v>
      </c>
      <c r="G265" t="s">
        <v>294</v>
      </c>
      <c r="H265" t="s">
        <v>256</v>
      </c>
      <c r="I265" t="s">
        <v>288</v>
      </c>
      <c r="J265" t="s">
        <v>267</v>
      </c>
      <c r="K265" t="s">
        <v>54</v>
      </c>
      <c r="L265">
        <v>2021</v>
      </c>
      <c r="M265">
        <v>1</v>
      </c>
      <c r="N265">
        <v>0.75</v>
      </c>
      <c r="O265">
        <v>2.25</v>
      </c>
      <c r="P265">
        <v>3</v>
      </c>
      <c r="Q265">
        <v>4.33</v>
      </c>
      <c r="R265">
        <v>3.6</v>
      </c>
      <c r="S265">
        <v>1.83</v>
      </c>
      <c r="T265">
        <v>4.0999999999999996</v>
      </c>
      <c r="U265">
        <v>3.5</v>
      </c>
      <c r="V265">
        <v>1.91</v>
      </c>
      <c r="W265">
        <v>4.3</v>
      </c>
      <c r="X265">
        <v>3.45</v>
      </c>
      <c r="Y265">
        <v>1.9</v>
      </c>
      <c r="Z265">
        <v>4.5</v>
      </c>
      <c r="AA265">
        <v>3.65</v>
      </c>
      <c r="AB265">
        <v>1.89</v>
      </c>
      <c r="AC265">
        <v>4.33</v>
      </c>
      <c r="AD265">
        <v>3.4</v>
      </c>
      <c r="AE265">
        <v>1.91</v>
      </c>
      <c r="AF265">
        <v>4.0999999999999996</v>
      </c>
      <c r="AG265">
        <v>3.5</v>
      </c>
      <c r="AH265">
        <v>1.9</v>
      </c>
      <c r="AI265">
        <v>4.5999999999999996</v>
      </c>
      <c r="AJ265">
        <v>3.65</v>
      </c>
      <c r="AK265">
        <v>2</v>
      </c>
      <c r="AL265">
        <v>4.3099999999999996</v>
      </c>
      <c r="AM265">
        <v>3.5</v>
      </c>
      <c r="AN265">
        <v>1.89</v>
      </c>
      <c r="AO265">
        <v>1</v>
      </c>
      <c r="AP265">
        <v>0.21928507059176899</v>
      </c>
      <c r="AQ265">
        <v>0.27635926704716102</v>
      </c>
      <c r="AR265">
        <v>0.50435566236106899</v>
      </c>
      <c r="AS265">
        <v>1</v>
      </c>
      <c r="AT265">
        <v>8.7113247221388603E-3</v>
      </c>
      <c r="AU265">
        <v>1.6878920515014699</v>
      </c>
      <c r="AV265">
        <f t="shared" si="20"/>
        <v>617759065.87461567</v>
      </c>
      <c r="AW265">
        <f t="shared" si="21"/>
        <v>135465340.36902058</v>
      </c>
      <c r="AX265">
        <f t="shared" si="22"/>
        <v>170723442.6568478</v>
      </c>
      <c r="AY265">
        <f t="shared" si="23"/>
        <v>311570282.84874725</v>
      </c>
      <c r="AZ265" cm="1">
        <f t="array" ref="AZ265">_xlfn.IFS(E265="H",AW265*AI265-AV265,E265="D",AX265*AJ265-AV265,E265="A",AY265*AK265-AV265)</f>
        <v>5381499.8228789568</v>
      </c>
      <c r="BA265">
        <f t="shared" si="24"/>
        <v>47591333.396449059</v>
      </c>
    </row>
    <row r="266" spans="1:53" x14ac:dyDescent="0.2">
      <c r="A266">
        <v>33</v>
      </c>
      <c r="B266" t="s">
        <v>55</v>
      </c>
      <c r="C266" s="1">
        <v>44310</v>
      </c>
      <c r="D266" t="s">
        <v>183</v>
      </c>
      <c r="E266" t="s">
        <v>49</v>
      </c>
      <c r="F266" t="s">
        <v>274</v>
      </c>
      <c r="G266" t="s">
        <v>371</v>
      </c>
      <c r="H266" t="s">
        <v>256</v>
      </c>
      <c r="I266" t="s">
        <v>275</v>
      </c>
      <c r="J266" t="s">
        <v>186</v>
      </c>
      <c r="K266" t="s">
        <v>54</v>
      </c>
      <c r="L266">
        <v>2021</v>
      </c>
      <c r="M266">
        <v>1</v>
      </c>
      <c r="N266">
        <v>1.25</v>
      </c>
      <c r="O266">
        <v>0</v>
      </c>
      <c r="P266">
        <v>0.75</v>
      </c>
      <c r="Q266">
        <v>2.4500000000000002</v>
      </c>
      <c r="R266">
        <v>2.9</v>
      </c>
      <c r="S266">
        <v>3.25</v>
      </c>
      <c r="T266">
        <v>2.4500000000000002</v>
      </c>
      <c r="U266">
        <v>3</v>
      </c>
      <c r="V266">
        <v>3.2</v>
      </c>
      <c r="W266">
        <v>2.4500000000000002</v>
      </c>
      <c r="X266">
        <v>3</v>
      </c>
      <c r="Y266">
        <v>3.2</v>
      </c>
      <c r="Z266">
        <v>2.5</v>
      </c>
      <c r="AA266">
        <v>3.06</v>
      </c>
      <c r="AB266">
        <v>3.39</v>
      </c>
      <c r="AC266">
        <v>2.5</v>
      </c>
      <c r="AD266">
        <v>2.9</v>
      </c>
      <c r="AE266">
        <v>3.25</v>
      </c>
      <c r="AF266">
        <v>2.4</v>
      </c>
      <c r="AG266">
        <v>3.1</v>
      </c>
      <c r="AH266">
        <v>3.2</v>
      </c>
      <c r="AI266">
        <v>2.58</v>
      </c>
      <c r="AJ266">
        <v>3.24</v>
      </c>
      <c r="AK266">
        <v>3.39</v>
      </c>
      <c r="AL266">
        <v>2.48</v>
      </c>
      <c r="AM266">
        <v>3</v>
      </c>
      <c r="AN266">
        <v>3.22</v>
      </c>
      <c r="AO266">
        <v>1</v>
      </c>
      <c r="AP266">
        <v>0.39102851650112103</v>
      </c>
      <c r="AQ266">
        <v>0.311374559436078</v>
      </c>
      <c r="AR266">
        <v>0.29759692406279997</v>
      </c>
      <c r="AS266">
        <v>1</v>
      </c>
      <c r="AT266">
        <v>8.8535725728933201E-3</v>
      </c>
      <c r="AU266">
        <v>1.6967456240743599</v>
      </c>
      <c r="AV266">
        <f t="shared" ref="AV266:AV329" si="25">AV265+BA265</f>
        <v>665350399.27106476</v>
      </c>
      <c r="AW266">
        <f t="shared" ref="AW266:AW329" si="26">AV266/(1+AI266/AJ266+AI266/AK266)</f>
        <v>260170979.58039328</v>
      </c>
      <c r="AX266">
        <f t="shared" ref="AX266:AX329" si="27">AV266/(1+AJ266/AI266+AJ266/AK266)</f>
        <v>207173187.44364649</v>
      </c>
      <c r="AY266">
        <f t="shared" ref="AY266:AY329" si="28">AV266/(1+AK266/AI266+AK266/AJ266)</f>
        <v>198006232.24702498</v>
      </c>
      <c r="AZ266" cm="1">
        <f t="array" ref="AZ266">_xlfn.IFS(E266="H",AW266*AI266-AV266,E266="D",AX266*AJ266-AV266,E266="A",AY266*AK266-AV266)</f>
        <v>5890728.0463498831</v>
      </c>
      <c r="BA266">
        <f t="shared" ref="BA266:BA329" si="29">AZ266+BA265</f>
        <v>53482061.442798942</v>
      </c>
    </row>
    <row r="267" spans="1:53" x14ac:dyDescent="0.2">
      <c r="A267">
        <v>31</v>
      </c>
      <c r="B267" t="s">
        <v>67</v>
      </c>
      <c r="C267" s="1">
        <v>44311</v>
      </c>
      <c r="D267" t="s">
        <v>107</v>
      </c>
      <c r="E267" t="s">
        <v>49</v>
      </c>
      <c r="F267" t="s">
        <v>76</v>
      </c>
      <c r="G267" t="s">
        <v>417</v>
      </c>
      <c r="H267" t="s">
        <v>256</v>
      </c>
      <c r="I267" t="s">
        <v>149</v>
      </c>
      <c r="J267" t="s">
        <v>388</v>
      </c>
      <c r="K267" t="s">
        <v>54</v>
      </c>
      <c r="L267">
        <v>2021</v>
      </c>
      <c r="M267">
        <v>1.5</v>
      </c>
      <c r="N267">
        <v>1.75</v>
      </c>
      <c r="O267">
        <v>1.25</v>
      </c>
      <c r="P267">
        <v>0.75</v>
      </c>
      <c r="Q267">
        <v>1.6</v>
      </c>
      <c r="R267">
        <v>4.2</v>
      </c>
      <c r="S267">
        <v>5.25</v>
      </c>
      <c r="T267">
        <v>1.57</v>
      </c>
      <c r="U267">
        <v>3.8</v>
      </c>
      <c r="V267">
        <v>6.5</v>
      </c>
      <c r="W267">
        <v>1.63</v>
      </c>
      <c r="X267">
        <v>4</v>
      </c>
      <c r="Y267">
        <v>5.5</v>
      </c>
      <c r="Z267">
        <v>1.64</v>
      </c>
      <c r="AA267">
        <v>3.9</v>
      </c>
      <c r="AB267">
        <v>6.29</v>
      </c>
      <c r="AC267">
        <v>1.6</v>
      </c>
      <c r="AD267">
        <v>3.8</v>
      </c>
      <c r="AE267">
        <v>5.8</v>
      </c>
      <c r="AF267">
        <v>1.6</v>
      </c>
      <c r="AG267">
        <v>4.2</v>
      </c>
      <c r="AH267">
        <v>5.25</v>
      </c>
      <c r="AI267">
        <v>1.68</v>
      </c>
      <c r="AJ267">
        <v>4.2</v>
      </c>
      <c r="AK267">
        <v>6.5</v>
      </c>
      <c r="AL267">
        <v>1.62</v>
      </c>
      <c r="AM267">
        <v>3.87</v>
      </c>
      <c r="AN267">
        <v>5.88</v>
      </c>
      <c r="AO267">
        <v>1</v>
      </c>
      <c r="AP267">
        <v>0.602968460111317</v>
      </c>
      <c r="AQ267">
        <v>0.241187384044526</v>
      </c>
      <c r="AR267">
        <v>0.15584415584415501</v>
      </c>
      <c r="AS267">
        <v>1</v>
      </c>
      <c r="AT267">
        <v>1.2987012987012801E-2</v>
      </c>
      <c r="AU267">
        <v>1.7097326370613799</v>
      </c>
      <c r="AV267">
        <f t="shared" si="25"/>
        <v>718832460.71386373</v>
      </c>
      <c r="AW267">
        <f t="shared" si="26"/>
        <v>433433301.91466737</v>
      </c>
      <c r="AX267">
        <f t="shared" si="27"/>
        <v>173373320.76586694</v>
      </c>
      <c r="AY267">
        <f t="shared" si="28"/>
        <v>112025838.03332943</v>
      </c>
      <c r="AZ267" cm="1">
        <f t="array" ref="AZ267">_xlfn.IFS(E267="H",AW267*AI267-AV267,E267="D",AX267*AJ267-AV267,E267="A",AY267*AK267-AV267)</f>
        <v>9335486.5027774572</v>
      </c>
      <c r="BA267">
        <f t="shared" si="29"/>
        <v>62817547.9455764</v>
      </c>
    </row>
    <row r="268" spans="1:53" x14ac:dyDescent="0.2">
      <c r="A268">
        <v>33</v>
      </c>
      <c r="B268" t="s">
        <v>67</v>
      </c>
      <c r="C268" s="1">
        <v>44311</v>
      </c>
      <c r="D268" t="s">
        <v>107</v>
      </c>
      <c r="E268" t="s">
        <v>49</v>
      </c>
      <c r="F268" t="s">
        <v>141</v>
      </c>
      <c r="G268" t="s">
        <v>108</v>
      </c>
      <c r="H268" t="s">
        <v>256</v>
      </c>
      <c r="I268" t="s">
        <v>143</v>
      </c>
      <c r="J268" t="s">
        <v>316</v>
      </c>
      <c r="K268" t="s">
        <v>54</v>
      </c>
      <c r="L268">
        <v>2021</v>
      </c>
      <c r="M268">
        <v>1.5</v>
      </c>
      <c r="N268">
        <v>1.5</v>
      </c>
      <c r="O268">
        <v>1</v>
      </c>
      <c r="P268">
        <v>1.25</v>
      </c>
      <c r="Q268">
        <v>2.4500000000000002</v>
      </c>
      <c r="R268">
        <v>3.8</v>
      </c>
      <c r="S268">
        <v>2.5499999999999998</v>
      </c>
      <c r="T268">
        <v>2.4500000000000002</v>
      </c>
      <c r="U268">
        <v>3.8</v>
      </c>
      <c r="V268">
        <v>2.65</v>
      </c>
      <c r="W268">
        <v>2.5</v>
      </c>
      <c r="X268">
        <v>3.65</v>
      </c>
      <c r="Y268">
        <v>2.65</v>
      </c>
      <c r="Z268">
        <v>2.6</v>
      </c>
      <c r="AA268">
        <v>3.79</v>
      </c>
      <c r="AB268">
        <v>2.68</v>
      </c>
      <c r="AC268">
        <v>2.5499999999999998</v>
      </c>
      <c r="AD268">
        <v>3.6</v>
      </c>
      <c r="AE268">
        <v>2.62</v>
      </c>
      <c r="AF268">
        <v>2.5499999999999998</v>
      </c>
      <c r="AG268">
        <v>3.4</v>
      </c>
      <c r="AH268">
        <v>2.7</v>
      </c>
      <c r="AI268">
        <v>2.65</v>
      </c>
      <c r="AJ268">
        <v>3.93</v>
      </c>
      <c r="AK268">
        <v>2.73</v>
      </c>
      <c r="AL268">
        <v>2.5099999999999998</v>
      </c>
      <c r="AM268">
        <v>3.7</v>
      </c>
      <c r="AN268">
        <v>2.63</v>
      </c>
      <c r="AO268">
        <v>1</v>
      </c>
      <c r="AP268">
        <v>0.37807237322000498</v>
      </c>
      <c r="AQ268">
        <v>0.25493429746387097</v>
      </c>
      <c r="AR268">
        <v>0.366993329316122</v>
      </c>
      <c r="AS268">
        <v>1</v>
      </c>
      <c r="AT268">
        <v>1.8917890330152299E-3</v>
      </c>
      <c r="AU268">
        <v>1.71162442609439</v>
      </c>
      <c r="AV268">
        <f t="shared" si="25"/>
        <v>781650008.65944016</v>
      </c>
      <c r="AW268">
        <f t="shared" si="26"/>
        <v>295520273.80131257</v>
      </c>
      <c r="AX268">
        <f t="shared" si="27"/>
        <v>199269395.82022348</v>
      </c>
      <c r="AY268">
        <f t="shared" si="28"/>
        <v>286860339.03790414</v>
      </c>
      <c r="AZ268" cm="1">
        <f t="array" ref="AZ268">_xlfn.IFS(E268="H",AW268*AI268-AV268,E268="D",AX268*AJ268-AV268,E268="A",AY268*AK268-AV268)</f>
        <v>1478716.9140380621</v>
      </c>
      <c r="BA268">
        <f t="shared" si="29"/>
        <v>64296264.859614462</v>
      </c>
    </row>
    <row r="269" spans="1:53" x14ac:dyDescent="0.2">
      <c r="A269">
        <v>32</v>
      </c>
      <c r="B269" t="s">
        <v>67</v>
      </c>
      <c r="C269" s="1">
        <v>44311</v>
      </c>
      <c r="D269" t="s">
        <v>378</v>
      </c>
      <c r="E269" t="s">
        <v>74</v>
      </c>
      <c r="F269" t="s">
        <v>294</v>
      </c>
      <c r="G269" t="s">
        <v>87</v>
      </c>
      <c r="H269" t="s">
        <v>256</v>
      </c>
      <c r="I269" t="s">
        <v>295</v>
      </c>
      <c r="J269" t="s">
        <v>265</v>
      </c>
      <c r="K269" t="s">
        <v>54</v>
      </c>
      <c r="L269">
        <v>2021</v>
      </c>
      <c r="M269">
        <v>0.75</v>
      </c>
      <c r="N269">
        <v>1</v>
      </c>
      <c r="O269">
        <v>2.25</v>
      </c>
      <c r="P269">
        <v>2.75</v>
      </c>
      <c r="Q269">
        <v>4.5</v>
      </c>
      <c r="R269">
        <v>4.2</v>
      </c>
      <c r="S269">
        <v>1.66</v>
      </c>
      <c r="T269">
        <v>4.5999999999999996</v>
      </c>
      <c r="U269">
        <v>4.25</v>
      </c>
      <c r="V269">
        <v>1.67</v>
      </c>
      <c r="W269">
        <v>4.5999999999999996</v>
      </c>
      <c r="X269">
        <v>4.3</v>
      </c>
      <c r="Y269">
        <v>1.65</v>
      </c>
      <c r="Z269">
        <v>4.78</v>
      </c>
      <c r="AA269">
        <v>4.6100000000000003</v>
      </c>
      <c r="AB269">
        <v>1.67</v>
      </c>
      <c r="AC269">
        <v>4.75</v>
      </c>
      <c r="AD269">
        <v>4.2</v>
      </c>
      <c r="AE269">
        <v>1.67</v>
      </c>
      <c r="AF269">
        <v>4.5</v>
      </c>
      <c r="AG269">
        <v>4.2</v>
      </c>
      <c r="AH269">
        <v>1.67</v>
      </c>
      <c r="AI269">
        <v>5.03</v>
      </c>
      <c r="AJ269">
        <v>4.6100000000000003</v>
      </c>
      <c r="AK269">
        <v>1.73</v>
      </c>
      <c r="AL269">
        <v>4.6100000000000003</v>
      </c>
      <c r="AM269">
        <v>4.32</v>
      </c>
      <c r="AN269">
        <v>1.67</v>
      </c>
      <c r="AO269">
        <v>1</v>
      </c>
      <c r="AP269">
        <v>0.20005518556144999</v>
      </c>
      <c r="AQ269">
        <v>0.21828147144774299</v>
      </c>
      <c r="AR269">
        <v>0.58166334299080602</v>
      </c>
      <c r="AS269">
        <v>1</v>
      </c>
      <c r="AT269">
        <v>6.2775833740953404E-3</v>
      </c>
      <c r="AU269">
        <v>1.71790200946849</v>
      </c>
      <c r="AV269">
        <f t="shared" si="25"/>
        <v>845946273.51905465</v>
      </c>
      <c r="AW269">
        <f t="shared" si="26"/>
        <v>169235938.72387192</v>
      </c>
      <c r="AX269">
        <f t="shared" si="27"/>
        <v>184654397.34947413</v>
      </c>
      <c r="AY269">
        <f t="shared" si="28"/>
        <v>492055937.44570857</v>
      </c>
      <c r="AZ269" cm="1">
        <f t="array" ref="AZ269">_xlfn.IFS(E269="H",AW269*AI269-AV269,E269="D",AX269*AJ269-AV269,E269="A",AY269*AK269-AV269)</f>
        <v>5310498.262021184</v>
      </c>
      <c r="BA269">
        <f t="shared" si="29"/>
        <v>69606763.121635646</v>
      </c>
    </row>
    <row r="270" spans="1:53" x14ac:dyDescent="0.2">
      <c r="A270">
        <v>33</v>
      </c>
      <c r="B270" t="s">
        <v>67</v>
      </c>
      <c r="C270" s="1">
        <v>44311</v>
      </c>
      <c r="D270" t="s">
        <v>125</v>
      </c>
      <c r="E270" t="s">
        <v>57</v>
      </c>
      <c r="F270" t="s">
        <v>346</v>
      </c>
      <c r="G270" t="s">
        <v>127</v>
      </c>
      <c r="H270" t="s">
        <v>256</v>
      </c>
      <c r="I270" t="s">
        <v>347</v>
      </c>
      <c r="J270" t="s">
        <v>297</v>
      </c>
      <c r="K270" t="s">
        <v>54</v>
      </c>
      <c r="L270">
        <v>2021</v>
      </c>
      <c r="M270">
        <v>1.25</v>
      </c>
      <c r="N270">
        <v>0.75</v>
      </c>
      <c r="O270">
        <v>2</v>
      </c>
      <c r="P270">
        <v>1.25</v>
      </c>
      <c r="Q270">
        <v>4</v>
      </c>
      <c r="R270">
        <v>4.2</v>
      </c>
      <c r="S270">
        <v>1.75</v>
      </c>
      <c r="T270">
        <v>4.0999999999999996</v>
      </c>
      <c r="U270">
        <v>4</v>
      </c>
      <c r="V270">
        <v>1.8</v>
      </c>
      <c r="W270">
        <v>4</v>
      </c>
      <c r="X270">
        <v>4.0999999999999996</v>
      </c>
      <c r="Y270">
        <v>1.8</v>
      </c>
      <c r="Z270">
        <v>4.17</v>
      </c>
      <c r="AA270">
        <v>4.2</v>
      </c>
      <c r="AB270">
        <v>1.83</v>
      </c>
      <c r="AC270">
        <v>4</v>
      </c>
      <c r="AD270">
        <v>4</v>
      </c>
      <c r="AE270">
        <v>1.8</v>
      </c>
      <c r="AF270">
        <v>4.0999999999999996</v>
      </c>
      <c r="AG270">
        <v>3.9</v>
      </c>
      <c r="AH270">
        <v>1.8</v>
      </c>
      <c r="AI270">
        <v>4.3</v>
      </c>
      <c r="AJ270">
        <v>4.25</v>
      </c>
      <c r="AK270">
        <v>1.92</v>
      </c>
      <c r="AL270">
        <v>4.05</v>
      </c>
      <c r="AM270">
        <v>4.05</v>
      </c>
      <c r="AN270">
        <v>1.82</v>
      </c>
      <c r="AO270">
        <v>1</v>
      </c>
      <c r="AP270">
        <v>0.23521950938283701</v>
      </c>
      <c r="AQ270">
        <v>0.237986797728517</v>
      </c>
      <c r="AR270">
        <v>0.52679369288864497</v>
      </c>
      <c r="AS270">
        <v>1</v>
      </c>
      <c r="AT270">
        <v>1.14438903461993E-2</v>
      </c>
      <c r="AU270">
        <v>1.72934589981469</v>
      </c>
      <c r="AV270">
        <f t="shared" si="25"/>
        <v>915553036.64069033</v>
      </c>
      <c r="AW270">
        <f t="shared" si="26"/>
        <v>215355936.0925898</v>
      </c>
      <c r="AX270">
        <f t="shared" si="27"/>
        <v>217889535.34073791</v>
      </c>
      <c r="AY270">
        <f t="shared" si="28"/>
        <v>482307565.20736259</v>
      </c>
      <c r="AZ270" cm="1">
        <f t="array" ref="AZ270">_xlfn.IFS(E270="H",AW270*AI270-AV270,E270="D",AX270*AJ270-AV270,E270="A",AY270*AK270-AV270)</f>
        <v>10477488.557445765</v>
      </c>
      <c r="BA270">
        <f t="shared" si="29"/>
        <v>80084251.67908141</v>
      </c>
    </row>
    <row r="271" spans="1:53" x14ac:dyDescent="0.2">
      <c r="A271">
        <v>32</v>
      </c>
      <c r="B271" t="s">
        <v>198</v>
      </c>
      <c r="C271" s="1">
        <v>44312</v>
      </c>
      <c r="D271" t="s">
        <v>68</v>
      </c>
      <c r="E271" t="s">
        <v>74</v>
      </c>
      <c r="F271" t="s">
        <v>113</v>
      </c>
      <c r="G271" t="s">
        <v>158</v>
      </c>
      <c r="H271" t="s">
        <v>256</v>
      </c>
      <c r="I271" t="s">
        <v>115</v>
      </c>
      <c r="J271" t="s">
        <v>356</v>
      </c>
      <c r="K271" t="s">
        <v>54</v>
      </c>
      <c r="L271">
        <v>2021</v>
      </c>
      <c r="M271">
        <v>0.5</v>
      </c>
      <c r="N271">
        <v>0.75</v>
      </c>
      <c r="O271">
        <v>1.25</v>
      </c>
      <c r="P271">
        <v>1</v>
      </c>
      <c r="Q271">
        <v>4</v>
      </c>
      <c r="R271">
        <v>3.6</v>
      </c>
      <c r="S271">
        <v>1.85</v>
      </c>
      <c r="T271">
        <v>4.2</v>
      </c>
      <c r="U271">
        <v>3.5</v>
      </c>
      <c r="V271">
        <v>1.9</v>
      </c>
      <c r="W271">
        <v>3.9</v>
      </c>
      <c r="X271">
        <v>3.45</v>
      </c>
      <c r="Y271">
        <v>1.97</v>
      </c>
      <c r="Z271">
        <v>4.42</v>
      </c>
      <c r="AA271">
        <v>3.66</v>
      </c>
      <c r="AB271">
        <v>1.91</v>
      </c>
      <c r="AC271">
        <v>4.2</v>
      </c>
      <c r="AD271">
        <v>3.4</v>
      </c>
      <c r="AE271">
        <v>1.95</v>
      </c>
      <c r="AF271">
        <v>4.0999999999999996</v>
      </c>
      <c r="AG271">
        <v>3.4</v>
      </c>
      <c r="AH271">
        <v>1.91</v>
      </c>
      <c r="AI271">
        <v>4.4800000000000004</v>
      </c>
      <c r="AJ271">
        <v>3.66</v>
      </c>
      <c r="AK271">
        <v>2.02</v>
      </c>
      <c r="AL271">
        <v>4.1399999999999997</v>
      </c>
      <c r="AM271">
        <v>3.47</v>
      </c>
      <c r="AN271">
        <v>1.92</v>
      </c>
      <c r="AO271">
        <v>1</v>
      </c>
      <c r="AP271">
        <v>0.22513063496510299</v>
      </c>
      <c r="AQ271">
        <v>0.27556973897367798</v>
      </c>
      <c r="AR271">
        <v>0.49929962606121803</v>
      </c>
      <c r="AS271">
        <v>1</v>
      </c>
      <c r="AT271">
        <v>8.5852446436618293E-3</v>
      </c>
      <c r="AU271">
        <v>1.7379311444583501</v>
      </c>
      <c r="AV271">
        <f t="shared" si="25"/>
        <v>995637288.31977177</v>
      </c>
      <c r="AW271">
        <f t="shared" si="26"/>
        <v>224148454.91436365</v>
      </c>
      <c r="AX271">
        <f t="shared" si="27"/>
        <v>274367507.65474021</v>
      </c>
      <c r="AY271">
        <f t="shared" si="28"/>
        <v>497121325.75066793</v>
      </c>
      <c r="AZ271" cm="1">
        <f t="array" ref="AZ271">_xlfn.IFS(E271="H",AW271*AI271-AV271,E271="D",AX271*AJ271-AV271,E271="A",AY271*AK271-AV271)</f>
        <v>8547789.6965774298</v>
      </c>
      <c r="BA271">
        <f t="shared" si="29"/>
        <v>88632041.37565884</v>
      </c>
    </row>
    <row r="272" spans="1:53" x14ac:dyDescent="0.2">
      <c r="A272">
        <v>33</v>
      </c>
      <c r="B272" t="s">
        <v>202</v>
      </c>
      <c r="C272" s="1">
        <v>44314</v>
      </c>
      <c r="D272" t="s">
        <v>418</v>
      </c>
      <c r="E272" t="s">
        <v>57</v>
      </c>
      <c r="F272" t="s">
        <v>311</v>
      </c>
      <c r="G272" t="s">
        <v>166</v>
      </c>
      <c r="H272" t="s">
        <v>256</v>
      </c>
      <c r="I272" t="s">
        <v>397</v>
      </c>
      <c r="J272" t="s">
        <v>267</v>
      </c>
      <c r="K272" t="s">
        <v>54</v>
      </c>
      <c r="L272">
        <v>2021</v>
      </c>
      <c r="M272">
        <v>2</v>
      </c>
      <c r="N272">
        <v>1.25</v>
      </c>
      <c r="O272">
        <v>0.75</v>
      </c>
      <c r="P272">
        <v>0.5</v>
      </c>
      <c r="Q272">
        <v>1.85</v>
      </c>
      <c r="R272">
        <v>3.2</v>
      </c>
      <c r="S272">
        <v>5</v>
      </c>
      <c r="T272">
        <v>1.8</v>
      </c>
      <c r="U272">
        <v>3.25</v>
      </c>
      <c r="V272">
        <v>5.25</v>
      </c>
      <c r="W272">
        <v>1.85</v>
      </c>
      <c r="X272">
        <v>3.3</v>
      </c>
      <c r="Y272">
        <v>4.7</v>
      </c>
      <c r="Z272">
        <v>1.9</v>
      </c>
      <c r="AA272">
        <v>3.19</v>
      </c>
      <c r="AB272">
        <v>5.4</v>
      </c>
      <c r="AC272">
        <v>1.83</v>
      </c>
      <c r="AD272">
        <v>3.2</v>
      </c>
      <c r="AE272">
        <v>5.25</v>
      </c>
      <c r="AF272">
        <v>1.85</v>
      </c>
      <c r="AG272">
        <v>3.3</v>
      </c>
      <c r="AH272">
        <v>4.5999999999999996</v>
      </c>
      <c r="AI272">
        <v>1.93</v>
      </c>
      <c r="AJ272">
        <v>3.36</v>
      </c>
      <c r="AK272">
        <v>5.5</v>
      </c>
      <c r="AL272">
        <v>1.86</v>
      </c>
      <c r="AM272">
        <v>3.22</v>
      </c>
      <c r="AN272">
        <v>5.04</v>
      </c>
      <c r="AO272">
        <v>1</v>
      </c>
      <c r="AP272">
        <v>0.51939583696366998</v>
      </c>
      <c r="AQ272">
        <v>0.298343442065441</v>
      </c>
      <c r="AR272">
        <v>0.182260720970887</v>
      </c>
      <c r="AS272">
        <v>1</v>
      </c>
      <c r="AT272">
        <v>2.4339653398837099E-3</v>
      </c>
      <c r="AU272">
        <v>1.74036510979823</v>
      </c>
      <c r="AV272">
        <f t="shared" si="25"/>
        <v>1084269329.6954305</v>
      </c>
      <c r="AW272">
        <f t="shared" si="26"/>
        <v>563164975.99119604</v>
      </c>
      <c r="AX272">
        <f t="shared" si="27"/>
        <v>323484643.94732392</v>
      </c>
      <c r="AY272">
        <f t="shared" si="28"/>
        <v>197619709.75691059</v>
      </c>
      <c r="AZ272" cm="1">
        <f t="array" ref="AZ272">_xlfn.IFS(E272="H",AW272*AI272-AV272,E272="D",AX272*AJ272-AV272,E272="A",AY272*AK272-AV272)</f>
        <v>2639073.9675776958</v>
      </c>
      <c r="BA272">
        <f t="shared" si="29"/>
        <v>91271115.343236536</v>
      </c>
    </row>
    <row r="273" spans="1:53" x14ac:dyDescent="0.2">
      <c r="A273">
        <v>34</v>
      </c>
      <c r="B273" t="s">
        <v>55</v>
      </c>
      <c r="C273" s="1">
        <v>44317</v>
      </c>
      <c r="D273" t="s">
        <v>183</v>
      </c>
      <c r="E273" t="s">
        <v>57</v>
      </c>
      <c r="F273" t="s">
        <v>142</v>
      </c>
      <c r="G273" t="s">
        <v>371</v>
      </c>
      <c r="H273" t="s">
        <v>256</v>
      </c>
      <c r="I273" t="s">
        <v>320</v>
      </c>
      <c r="J273" t="s">
        <v>144</v>
      </c>
      <c r="K273" t="s">
        <v>54</v>
      </c>
      <c r="L273">
        <v>2021</v>
      </c>
      <c r="M273">
        <v>0</v>
      </c>
      <c r="N273">
        <v>0.25</v>
      </c>
      <c r="O273">
        <v>0</v>
      </c>
      <c r="P273">
        <v>0.75</v>
      </c>
      <c r="Q273">
        <v>2.0499999999999998</v>
      </c>
      <c r="R273">
        <v>3.6</v>
      </c>
      <c r="S273">
        <v>3.4</v>
      </c>
      <c r="T273">
        <v>2.1</v>
      </c>
      <c r="U273">
        <v>3.5</v>
      </c>
      <c r="V273">
        <v>3.5</v>
      </c>
      <c r="W273">
        <v>2.2000000000000002</v>
      </c>
      <c r="X273">
        <v>3.5</v>
      </c>
      <c r="Y273">
        <v>3.25</v>
      </c>
      <c r="Z273">
        <v>2.13</v>
      </c>
      <c r="AA273">
        <v>3.67</v>
      </c>
      <c r="AB273">
        <v>3.55</v>
      </c>
      <c r="AC273">
        <v>2.1</v>
      </c>
      <c r="AD273">
        <v>3.5</v>
      </c>
      <c r="AE273">
        <v>3.5</v>
      </c>
      <c r="AF273">
        <v>2.0499999999999998</v>
      </c>
      <c r="AG273">
        <v>3.3</v>
      </c>
      <c r="AH273">
        <v>3.7</v>
      </c>
      <c r="AI273">
        <v>2.2000000000000002</v>
      </c>
      <c r="AJ273">
        <v>3.71</v>
      </c>
      <c r="AK273">
        <v>3.7</v>
      </c>
      <c r="AL273">
        <v>2.09</v>
      </c>
      <c r="AM273">
        <v>3.54</v>
      </c>
      <c r="AN273">
        <v>3.48</v>
      </c>
      <c r="AO273">
        <v>1</v>
      </c>
      <c r="AP273">
        <v>0.45712477937993201</v>
      </c>
      <c r="AQ273">
        <v>0.27107129774551197</v>
      </c>
      <c r="AR273">
        <v>0.27180392287455402</v>
      </c>
      <c r="AS273">
        <v>1</v>
      </c>
      <c r="AT273">
        <v>5.67451463585211E-3</v>
      </c>
      <c r="AU273">
        <v>1.7460396244340901</v>
      </c>
      <c r="AV273">
        <f t="shared" si="25"/>
        <v>1175540445.038667</v>
      </c>
      <c r="AW273">
        <f t="shared" si="26"/>
        <v>537368666.59048855</v>
      </c>
      <c r="AX273">
        <f t="shared" si="27"/>
        <v>318655273.98896897</v>
      </c>
      <c r="AY273">
        <f t="shared" si="28"/>
        <v>319516504.45920944</v>
      </c>
      <c r="AZ273" cm="1">
        <f t="array" ref="AZ273">_xlfn.IFS(E273="H",AW273*AI273-AV273,E273="D",AX273*AJ273-AV273,E273="A",AY273*AK273-AV273)</f>
        <v>6670621.4604079723</v>
      </c>
      <c r="BA273">
        <f t="shared" si="29"/>
        <v>97941736.803644508</v>
      </c>
    </row>
    <row r="274" spans="1:53" x14ac:dyDescent="0.2">
      <c r="A274">
        <v>34</v>
      </c>
      <c r="B274" t="s">
        <v>67</v>
      </c>
      <c r="C274" s="1">
        <v>44318</v>
      </c>
      <c r="D274" t="s">
        <v>378</v>
      </c>
      <c r="E274" t="s">
        <v>49</v>
      </c>
      <c r="F274" t="s">
        <v>294</v>
      </c>
      <c r="G274" t="s">
        <v>162</v>
      </c>
      <c r="H274" t="s">
        <v>256</v>
      </c>
      <c r="I274" t="s">
        <v>295</v>
      </c>
      <c r="J274" t="s">
        <v>272</v>
      </c>
      <c r="K274" t="s">
        <v>54</v>
      </c>
      <c r="L274">
        <v>2021</v>
      </c>
      <c r="M274">
        <v>0.75</v>
      </c>
      <c r="N274">
        <v>1</v>
      </c>
      <c r="O274">
        <v>1</v>
      </c>
      <c r="P274">
        <v>1.25</v>
      </c>
      <c r="Q274">
        <v>2.1</v>
      </c>
      <c r="R274">
        <v>2.9</v>
      </c>
      <c r="S274">
        <v>4.0999999999999996</v>
      </c>
      <c r="T274">
        <v>2.1</v>
      </c>
      <c r="U274">
        <v>3</v>
      </c>
      <c r="V274">
        <v>4.2</v>
      </c>
      <c r="W274">
        <v>2.2000000000000002</v>
      </c>
      <c r="X274">
        <v>3</v>
      </c>
      <c r="Y274">
        <v>3.8</v>
      </c>
      <c r="Z274">
        <v>2.2400000000000002</v>
      </c>
      <c r="AA274">
        <v>3.08</v>
      </c>
      <c r="AB274">
        <v>3.97</v>
      </c>
      <c r="AC274">
        <v>2.2000000000000002</v>
      </c>
      <c r="AD274">
        <v>2.9</v>
      </c>
      <c r="AE274">
        <v>4</v>
      </c>
      <c r="AF274">
        <v>2.1</v>
      </c>
      <c r="AG274">
        <v>3.1</v>
      </c>
      <c r="AH274">
        <v>3.75</v>
      </c>
      <c r="AI274">
        <v>2.2599999999999998</v>
      </c>
      <c r="AJ274">
        <v>3.15</v>
      </c>
      <c r="AK274">
        <v>4.2</v>
      </c>
      <c r="AL274">
        <v>2.1800000000000002</v>
      </c>
      <c r="AM274">
        <v>3.01</v>
      </c>
      <c r="AN274">
        <v>3.92</v>
      </c>
      <c r="AO274">
        <v>1</v>
      </c>
      <c r="AP274">
        <v>0.44334975369458102</v>
      </c>
      <c r="AQ274">
        <v>0.31808585503166698</v>
      </c>
      <c r="AR274">
        <v>0.23856439127375001</v>
      </c>
      <c r="AS274">
        <v>1</v>
      </c>
      <c r="AT274">
        <v>1.9704433497535999E-3</v>
      </c>
      <c r="AU274">
        <v>1.7480100677838399</v>
      </c>
      <c r="AV274">
        <f t="shared" si="25"/>
        <v>1273482181.8423114</v>
      </c>
      <c r="AW274">
        <f t="shared" si="26"/>
        <v>564598011.65422678</v>
      </c>
      <c r="AX274">
        <f t="shared" si="27"/>
        <v>405076668.67890555</v>
      </c>
      <c r="AY274">
        <f t="shared" si="28"/>
        <v>303807501.50917912</v>
      </c>
      <c r="AZ274" cm="1">
        <f t="array" ref="AZ274">_xlfn.IFS(E274="H",AW274*AI274-AV274,E274="D",AX274*AJ274-AV274,E274="A",AY274*AK274-AV274)</f>
        <v>2509324.4962410927</v>
      </c>
      <c r="BA274">
        <f t="shared" si="29"/>
        <v>100451061.2998856</v>
      </c>
    </row>
    <row r="275" spans="1:53" x14ac:dyDescent="0.2">
      <c r="A275">
        <v>35</v>
      </c>
      <c r="B275" t="s">
        <v>67</v>
      </c>
      <c r="C275" s="1">
        <v>44318</v>
      </c>
      <c r="D275" t="s">
        <v>183</v>
      </c>
      <c r="E275" t="s">
        <v>49</v>
      </c>
      <c r="F275" t="s">
        <v>340</v>
      </c>
      <c r="G275" t="s">
        <v>51</v>
      </c>
      <c r="H275" t="s">
        <v>256</v>
      </c>
      <c r="I275" t="s">
        <v>341</v>
      </c>
      <c r="J275" t="s">
        <v>361</v>
      </c>
      <c r="K275" t="s">
        <v>54</v>
      </c>
      <c r="L275">
        <v>2021</v>
      </c>
      <c r="M275">
        <v>2.5</v>
      </c>
      <c r="N275">
        <v>2</v>
      </c>
      <c r="O275">
        <v>1.25</v>
      </c>
      <c r="P275">
        <v>0.25</v>
      </c>
      <c r="Q275">
        <v>1.83</v>
      </c>
      <c r="R275">
        <v>3.6</v>
      </c>
      <c r="S275">
        <v>4.33</v>
      </c>
      <c r="T275">
        <v>1.85</v>
      </c>
      <c r="U275">
        <v>3.75</v>
      </c>
      <c r="V275">
        <v>4.0999999999999996</v>
      </c>
      <c r="W275">
        <v>1.83</v>
      </c>
      <c r="X275">
        <v>3.6</v>
      </c>
      <c r="Y275">
        <v>4.4000000000000004</v>
      </c>
      <c r="Z275">
        <v>1.88</v>
      </c>
      <c r="AA275">
        <v>3.8</v>
      </c>
      <c r="AB275">
        <v>4.38</v>
      </c>
      <c r="AC275">
        <v>1.85</v>
      </c>
      <c r="AD275">
        <v>3.5</v>
      </c>
      <c r="AE275">
        <v>4.2</v>
      </c>
      <c r="AF275">
        <v>1.83</v>
      </c>
      <c r="AG275">
        <v>3.3</v>
      </c>
      <c r="AH275">
        <v>4.5</v>
      </c>
      <c r="AI275">
        <v>1.98</v>
      </c>
      <c r="AJ275">
        <v>3.81</v>
      </c>
      <c r="AK275">
        <v>4.55</v>
      </c>
      <c r="AL275">
        <v>1.87</v>
      </c>
      <c r="AM275">
        <v>3.6</v>
      </c>
      <c r="AN275">
        <v>4.26</v>
      </c>
      <c r="AO275">
        <v>1</v>
      </c>
      <c r="AP275">
        <v>0.51154823346110601</v>
      </c>
      <c r="AQ275">
        <v>0.26584396384592901</v>
      </c>
      <c r="AR275">
        <v>0.22260780269296401</v>
      </c>
      <c r="AS275">
        <v>1</v>
      </c>
      <c r="AT275">
        <v>1.2865502252989901E-2</v>
      </c>
      <c r="AU275">
        <v>1.7608755700368299</v>
      </c>
      <c r="AV275">
        <f t="shared" si="25"/>
        <v>1373933243.1421969</v>
      </c>
      <c r="AW275">
        <f t="shared" si="26"/>
        <v>702833123.4228791</v>
      </c>
      <c r="AX275">
        <f t="shared" si="27"/>
        <v>365251859.41661429</v>
      </c>
      <c r="AY275">
        <f t="shared" si="28"/>
        <v>305848260.30270344</v>
      </c>
      <c r="AZ275" cm="1">
        <f t="array" ref="AZ275">_xlfn.IFS(E275="H",AW275*AI275-AV275,E275="D",AX275*AJ275-AV275,E275="A",AY275*AK275-AV275)</f>
        <v>17676341.235103607</v>
      </c>
      <c r="BA275">
        <f t="shared" si="29"/>
        <v>118127402.53498921</v>
      </c>
    </row>
    <row r="276" spans="1:53" x14ac:dyDescent="0.2">
      <c r="A276">
        <v>32</v>
      </c>
      <c r="B276" t="s">
        <v>55</v>
      </c>
      <c r="C276" s="1">
        <v>44324</v>
      </c>
      <c r="D276" t="s">
        <v>190</v>
      </c>
      <c r="E276" t="s">
        <v>49</v>
      </c>
      <c r="F276" t="s">
        <v>191</v>
      </c>
      <c r="G276" t="s">
        <v>76</v>
      </c>
      <c r="H276" t="s">
        <v>256</v>
      </c>
      <c r="I276" t="s">
        <v>193</v>
      </c>
      <c r="J276" t="s">
        <v>222</v>
      </c>
      <c r="K276" t="s">
        <v>54</v>
      </c>
      <c r="L276">
        <v>2021</v>
      </c>
      <c r="M276">
        <v>2.5</v>
      </c>
      <c r="N276">
        <v>2.75</v>
      </c>
      <c r="O276">
        <v>1</v>
      </c>
      <c r="P276">
        <v>2</v>
      </c>
      <c r="Q276">
        <v>1.33</v>
      </c>
      <c r="R276">
        <v>5.75</v>
      </c>
      <c r="S276">
        <v>7.5</v>
      </c>
      <c r="T276">
        <v>1.36</v>
      </c>
      <c r="U276">
        <v>5.25</v>
      </c>
      <c r="V276">
        <v>7.75</v>
      </c>
      <c r="W276">
        <v>1.37</v>
      </c>
      <c r="X276">
        <v>5.75</v>
      </c>
      <c r="Y276">
        <v>7</v>
      </c>
      <c r="Z276">
        <v>1.38</v>
      </c>
      <c r="AA276">
        <v>5.61</v>
      </c>
      <c r="AB276">
        <v>8.02</v>
      </c>
      <c r="AC276">
        <v>1.35</v>
      </c>
      <c r="AD276">
        <v>5.25</v>
      </c>
      <c r="AE276">
        <v>7.5</v>
      </c>
      <c r="AF276">
        <v>1.33</v>
      </c>
      <c r="AG276">
        <v>5.5</v>
      </c>
      <c r="AH276">
        <v>7.5</v>
      </c>
      <c r="AI276">
        <v>1.4</v>
      </c>
      <c r="AJ276">
        <v>6.1</v>
      </c>
      <c r="AK276">
        <v>8.8000000000000007</v>
      </c>
      <c r="AL276">
        <v>1.37</v>
      </c>
      <c r="AM276">
        <v>5.48</v>
      </c>
      <c r="AN276">
        <v>7.64</v>
      </c>
      <c r="AO276">
        <v>1</v>
      </c>
      <c r="AP276">
        <v>0.72015025489669904</v>
      </c>
      <c r="AQ276">
        <v>0.16528038636973399</v>
      </c>
      <c r="AR276">
        <v>0.114569358733565</v>
      </c>
      <c r="AS276">
        <v>1</v>
      </c>
      <c r="AT276">
        <v>8.2103568553797395E-3</v>
      </c>
      <c r="AU276">
        <v>1.7690859268922099</v>
      </c>
      <c r="AV276">
        <f t="shared" si="25"/>
        <v>1492060645.677186</v>
      </c>
      <c r="AW276">
        <f t="shared" si="26"/>
        <v>1074507854.3057599</v>
      </c>
      <c r="AX276">
        <f t="shared" si="27"/>
        <v>246608360.00460064</v>
      </c>
      <c r="AY276">
        <f t="shared" si="28"/>
        <v>170944431.36682543</v>
      </c>
      <c r="AZ276" cm="1">
        <f t="array" ref="AZ276">_xlfn.IFS(E276="H",AW276*AI276-AV276,E276="D",AX276*AJ276-AV276,E276="A",AY276*AK276-AV276)</f>
        <v>12250350.350877762</v>
      </c>
      <c r="BA276">
        <f t="shared" si="29"/>
        <v>130377752.88586697</v>
      </c>
    </row>
    <row r="277" spans="1:53" x14ac:dyDescent="0.2">
      <c r="A277">
        <v>35</v>
      </c>
      <c r="B277" t="s">
        <v>55</v>
      </c>
      <c r="C277" s="1">
        <v>44324</v>
      </c>
      <c r="D277" t="s">
        <v>396</v>
      </c>
      <c r="E277" t="s">
        <v>57</v>
      </c>
      <c r="F277" t="s">
        <v>286</v>
      </c>
      <c r="G277" t="s">
        <v>308</v>
      </c>
      <c r="H277" t="s">
        <v>256</v>
      </c>
      <c r="I277" t="s">
        <v>288</v>
      </c>
      <c r="J277" t="s">
        <v>265</v>
      </c>
      <c r="K277" t="s">
        <v>54</v>
      </c>
      <c r="L277">
        <v>2021</v>
      </c>
      <c r="M277">
        <v>1.75</v>
      </c>
      <c r="N277">
        <v>1.25</v>
      </c>
      <c r="O277">
        <v>0.75</v>
      </c>
      <c r="P277">
        <v>0.25</v>
      </c>
      <c r="Q277">
        <v>2.1</v>
      </c>
      <c r="R277">
        <v>3.4</v>
      </c>
      <c r="S277">
        <v>3.5</v>
      </c>
      <c r="T277">
        <v>2.0499999999999998</v>
      </c>
      <c r="U277">
        <v>3.4</v>
      </c>
      <c r="V277">
        <v>3.75</v>
      </c>
      <c r="W277">
        <v>2.0499999999999998</v>
      </c>
      <c r="X277">
        <v>3.3</v>
      </c>
      <c r="Y277">
        <v>3.9</v>
      </c>
      <c r="Z277">
        <v>2.2400000000000002</v>
      </c>
      <c r="AA277">
        <v>3.31</v>
      </c>
      <c r="AB277">
        <v>3.64</v>
      </c>
      <c r="AC277">
        <v>2.15</v>
      </c>
      <c r="AD277">
        <v>3.3</v>
      </c>
      <c r="AE277">
        <v>3.5</v>
      </c>
      <c r="AF277">
        <v>2.15</v>
      </c>
      <c r="AG277">
        <v>3.4</v>
      </c>
      <c r="AH277">
        <v>3.5</v>
      </c>
      <c r="AI277">
        <v>2.25</v>
      </c>
      <c r="AJ277">
        <v>3.45</v>
      </c>
      <c r="AK277">
        <v>3.9</v>
      </c>
      <c r="AL277">
        <v>2.17</v>
      </c>
      <c r="AM277">
        <v>3.32</v>
      </c>
      <c r="AN277">
        <v>3.54</v>
      </c>
      <c r="AO277">
        <v>1</v>
      </c>
      <c r="AP277">
        <v>0.44861215303825902</v>
      </c>
      <c r="AQ277">
        <v>0.29257314328582101</v>
      </c>
      <c r="AR277">
        <v>0.25881470367591902</v>
      </c>
      <c r="AS277">
        <v>1</v>
      </c>
      <c r="AT277">
        <v>9.3773443360840592E-3</v>
      </c>
      <c r="AU277">
        <v>1.77846327122829</v>
      </c>
      <c r="AV277">
        <f t="shared" si="25"/>
        <v>1622438398.5630529</v>
      </c>
      <c r="AW277">
        <f t="shared" si="26"/>
        <v>727845583.15131712</v>
      </c>
      <c r="AX277">
        <f t="shared" si="27"/>
        <v>474681902.05520678</v>
      </c>
      <c r="AY277">
        <f t="shared" si="28"/>
        <v>419910913.35652912</v>
      </c>
      <c r="AZ277" cm="1">
        <f t="array" ref="AZ277">_xlfn.IFS(E277="H",AW277*AI277-AV277,E277="D",AX277*AJ277-AV277,E277="A",AY277*AK277-AV277)</f>
        <v>15214163.527410507</v>
      </c>
      <c r="BA277">
        <f t="shared" si="29"/>
        <v>145591916.41327748</v>
      </c>
    </row>
    <row r="278" spans="1:53" x14ac:dyDescent="0.2">
      <c r="A278">
        <v>35</v>
      </c>
      <c r="B278" t="s">
        <v>67</v>
      </c>
      <c r="C278" s="1">
        <v>44325</v>
      </c>
      <c r="D278" t="s">
        <v>414</v>
      </c>
      <c r="E278" t="s">
        <v>49</v>
      </c>
      <c r="F278" t="s">
        <v>178</v>
      </c>
      <c r="G278" t="s">
        <v>358</v>
      </c>
      <c r="H278" t="s">
        <v>256</v>
      </c>
      <c r="I278" t="s">
        <v>419</v>
      </c>
      <c r="J278" t="s">
        <v>350</v>
      </c>
      <c r="K278" t="s">
        <v>54</v>
      </c>
      <c r="L278">
        <v>2021</v>
      </c>
      <c r="M278">
        <v>1</v>
      </c>
      <c r="N278">
        <v>0.75</v>
      </c>
      <c r="O278">
        <v>1</v>
      </c>
      <c r="P278">
        <v>1.75</v>
      </c>
      <c r="Q278">
        <v>1.44</v>
      </c>
      <c r="R278">
        <v>4.5</v>
      </c>
      <c r="S278">
        <v>7</v>
      </c>
      <c r="T278">
        <v>1.45</v>
      </c>
      <c r="U278">
        <v>4.5999999999999996</v>
      </c>
      <c r="V278">
        <v>7</v>
      </c>
      <c r="W278">
        <v>1.47</v>
      </c>
      <c r="X278">
        <v>4.5</v>
      </c>
      <c r="Y278">
        <v>6.5</v>
      </c>
      <c r="Z278">
        <v>1.47</v>
      </c>
      <c r="AA278">
        <v>4.7</v>
      </c>
      <c r="AB278">
        <v>7.6</v>
      </c>
      <c r="AC278">
        <v>1.47</v>
      </c>
      <c r="AD278">
        <v>4.33</v>
      </c>
      <c r="AE278">
        <v>7</v>
      </c>
      <c r="AF278">
        <v>1.45</v>
      </c>
      <c r="AG278">
        <v>4.4000000000000004</v>
      </c>
      <c r="AH278">
        <v>7.5</v>
      </c>
      <c r="AI278">
        <v>1.54</v>
      </c>
      <c r="AJ278">
        <v>4.75</v>
      </c>
      <c r="AK278">
        <v>7.6</v>
      </c>
      <c r="AL278">
        <v>1.47</v>
      </c>
      <c r="AM278">
        <v>4.53</v>
      </c>
      <c r="AN278">
        <v>7.01</v>
      </c>
      <c r="AO278">
        <v>1</v>
      </c>
      <c r="AP278">
        <v>0.65494657014822399</v>
      </c>
      <c r="AQ278">
        <v>0.21234057221647701</v>
      </c>
      <c r="AR278">
        <v>0.132712857635298</v>
      </c>
      <c r="AS278">
        <v>0.999999999999999</v>
      </c>
      <c r="AT278">
        <v>8.6177180282660509E-3</v>
      </c>
      <c r="AU278">
        <v>1.78708098925656</v>
      </c>
      <c r="AV278">
        <f t="shared" si="25"/>
        <v>1768030314.9763303</v>
      </c>
      <c r="AW278">
        <f t="shared" si="26"/>
        <v>1157965390.711833</v>
      </c>
      <c r="AX278">
        <f t="shared" si="27"/>
        <v>375424568.77815217</v>
      </c>
      <c r="AY278">
        <f t="shared" si="28"/>
        <v>234640355.48634514</v>
      </c>
      <c r="AZ278" cm="1">
        <f t="array" ref="AZ278">_xlfn.IFS(E278="H",AW278*AI278-AV278,E278="D",AX278*AJ278-AV278,E278="A",AY278*AK278-AV278)</f>
        <v>15236386.719892502</v>
      </c>
      <c r="BA278">
        <f t="shared" si="29"/>
        <v>160828303.13316998</v>
      </c>
    </row>
    <row r="279" spans="1:53" x14ac:dyDescent="0.2">
      <c r="A279">
        <v>36</v>
      </c>
      <c r="B279" t="s">
        <v>202</v>
      </c>
      <c r="C279" s="1">
        <v>44328</v>
      </c>
      <c r="D279" t="s">
        <v>234</v>
      </c>
      <c r="E279" t="s">
        <v>74</v>
      </c>
      <c r="F279" t="s">
        <v>91</v>
      </c>
      <c r="G279" t="s">
        <v>178</v>
      </c>
      <c r="H279" t="s">
        <v>256</v>
      </c>
      <c r="I279" t="s">
        <v>93</v>
      </c>
      <c r="J279" t="s">
        <v>155</v>
      </c>
      <c r="K279" t="s">
        <v>54</v>
      </c>
      <c r="L279">
        <v>2021</v>
      </c>
      <c r="M279">
        <v>1.75</v>
      </c>
      <c r="N279">
        <v>1.5</v>
      </c>
      <c r="O279">
        <v>2</v>
      </c>
      <c r="P279">
        <v>2.25</v>
      </c>
      <c r="Q279">
        <v>1.65</v>
      </c>
      <c r="R279">
        <v>4</v>
      </c>
      <c r="S279">
        <v>5</v>
      </c>
      <c r="T279">
        <v>1.7</v>
      </c>
      <c r="U279">
        <v>3.8</v>
      </c>
      <c r="V279">
        <v>5</v>
      </c>
      <c r="W279">
        <v>1.73</v>
      </c>
      <c r="X279">
        <v>3.75</v>
      </c>
      <c r="Y279">
        <v>4.9000000000000004</v>
      </c>
      <c r="Z279">
        <v>1.75</v>
      </c>
      <c r="AA279">
        <v>3.88</v>
      </c>
      <c r="AB279">
        <v>5.17</v>
      </c>
      <c r="AC279">
        <v>1.73</v>
      </c>
      <c r="AD279">
        <v>3.7</v>
      </c>
      <c r="AE279">
        <v>5</v>
      </c>
      <c r="AF279">
        <v>1.7</v>
      </c>
      <c r="AG279">
        <v>3.7</v>
      </c>
      <c r="AH279">
        <v>5.25</v>
      </c>
      <c r="AI279">
        <v>1.81</v>
      </c>
      <c r="AJ279">
        <v>4</v>
      </c>
      <c r="AK279">
        <v>5.3</v>
      </c>
      <c r="AL279">
        <v>1.73</v>
      </c>
      <c r="AM279">
        <v>3.8</v>
      </c>
      <c r="AN279">
        <v>5.04</v>
      </c>
      <c r="AO279">
        <v>1</v>
      </c>
      <c r="AP279">
        <v>0.55741066968159203</v>
      </c>
      <c r="AQ279">
        <v>0.25222832803091999</v>
      </c>
      <c r="AR279">
        <v>0.19036100228748701</v>
      </c>
      <c r="AS279">
        <v>0.999999999999999</v>
      </c>
      <c r="AT279">
        <v>8.9133121236821804E-3</v>
      </c>
      <c r="AU279">
        <v>1.79599430138024</v>
      </c>
      <c r="AV279">
        <f t="shared" si="25"/>
        <v>1928858618.1095002</v>
      </c>
      <c r="AW279">
        <f t="shared" si="26"/>
        <v>1075166374.041527</v>
      </c>
      <c r="AX279">
        <f t="shared" si="27"/>
        <v>486512784.25379097</v>
      </c>
      <c r="AY279">
        <f t="shared" si="28"/>
        <v>367179459.81418198</v>
      </c>
      <c r="AZ279" cm="1">
        <f t="array" ref="AZ279">_xlfn.IFS(E279="H",AW279*AI279-AV279,E279="D",AX279*AJ279-AV279,E279="A",AY279*AK279-AV279)</f>
        <v>17192518.905664206</v>
      </c>
      <c r="BA279">
        <f t="shared" si="29"/>
        <v>178020822.03883418</v>
      </c>
    </row>
    <row r="280" spans="1:53" x14ac:dyDescent="0.2">
      <c r="A280">
        <v>36</v>
      </c>
      <c r="B280" t="s">
        <v>229</v>
      </c>
      <c r="C280" s="1">
        <v>44329</v>
      </c>
      <c r="D280" t="s">
        <v>48</v>
      </c>
      <c r="E280" t="s">
        <v>49</v>
      </c>
      <c r="F280" t="s">
        <v>376</v>
      </c>
      <c r="G280" t="s">
        <v>142</v>
      </c>
      <c r="H280" t="s">
        <v>256</v>
      </c>
      <c r="I280" t="s">
        <v>392</v>
      </c>
      <c r="J280" t="s">
        <v>323</v>
      </c>
      <c r="K280" t="s">
        <v>54</v>
      </c>
      <c r="L280">
        <v>2021</v>
      </c>
      <c r="M280">
        <v>0</v>
      </c>
      <c r="N280">
        <v>0.75</v>
      </c>
      <c r="O280">
        <v>0.75</v>
      </c>
      <c r="P280">
        <v>1.25</v>
      </c>
      <c r="Q280">
        <v>3.6</v>
      </c>
      <c r="R280">
        <v>3.75</v>
      </c>
      <c r="S280">
        <v>1.9</v>
      </c>
      <c r="T280">
        <v>3.9</v>
      </c>
      <c r="U280">
        <v>3.6</v>
      </c>
      <c r="V280">
        <v>1.95</v>
      </c>
      <c r="W280">
        <v>3.8</v>
      </c>
      <c r="X280">
        <v>3.85</v>
      </c>
      <c r="Y280">
        <v>1.9</v>
      </c>
      <c r="Z280">
        <v>3.86</v>
      </c>
      <c r="AA280">
        <v>4.0599999999999996</v>
      </c>
      <c r="AB280">
        <v>1.91</v>
      </c>
      <c r="AC280">
        <v>3.9</v>
      </c>
      <c r="AD280">
        <v>3.8</v>
      </c>
      <c r="AE280">
        <v>1.88</v>
      </c>
      <c r="AF280">
        <v>4.0999999999999996</v>
      </c>
      <c r="AG280">
        <v>3.6</v>
      </c>
      <c r="AH280">
        <v>1.87</v>
      </c>
      <c r="AI280">
        <v>4.0999999999999996</v>
      </c>
      <c r="AJ280">
        <v>4.18</v>
      </c>
      <c r="AK280">
        <v>2.0099999999999998</v>
      </c>
      <c r="AL280">
        <v>3.77</v>
      </c>
      <c r="AM280">
        <v>3.9</v>
      </c>
      <c r="AN280">
        <v>1.91</v>
      </c>
      <c r="AO280">
        <v>1</v>
      </c>
      <c r="AP280">
        <v>0.248715246530573</v>
      </c>
      <c r="AQ280">
        <v>0.243955146118505</v>
      </c>
      <c r="AR280">
        <v>0.50732960735092103</v>
      </c>
      <c r="AS280">
        <v>1</v>
      </c>
      <c r="AT280">
        <v>1.9732510775351399E-2</v>
      </c>
      <c r="AU280">
        <v>1.8157268121555901</v>
      </c>
      <c r="AV280">
        <f t="shared" si="25"/>
        <v>2106879440.1483343</v>
      </c>
      <c r="AW280">
        <f t="shared" si="26"/>
        <v>524013039.3666898</v>
      </c>
      <c r="AX280">
        <f t="shared" si="27"/>
        <v>513984081.67546135</v>
      </c>
      <c r="AY280">
        <f t="shared" si="28"/>
        <v>1068882319.1061833</v>
      </c>
      <c r="AZ280" cm="1">
        <f t="array" ref="AZ280">_xlfn.IFS(E280="H",AW280*AI280-AV280,E280="D",AX280*AJ280-AV280,E280="A",AY280*AK280-AV280)</f>
        <v>41574021.255093813</v>
      </c>
      <c r="BA280">
        <f t="shared" si="29"/>
        <v>219594843.293928</v>
      </c>
    </row>
    <row r="281" spans="1:53" x14ac:dyDescent="0.2">
      <c r="A281">
        <v>19</v>
      </c>
      <c r="B281" t="s">
        <v>229</v>
      </c>
      <c r="C281" s="1">
        <v>44329</v>
      </c>
      <c r="D281" t="s">
        <v>254</v>
      </c>
      <c r="E281" t="s">
        <v>57</v>
      </c>
      <c r="F281" t="s">
        <v>213</v>
      </c>
      <c r="G281" t="s">
        <v>252</v>
      </c>
      <c r="H281" t="s">
        <v>256</v>
      </c>
      <c r="I281" t="s">
        <v>214</v>
      </c>
      <c r="J281" t="s">
        <v>233</v>
      </c>
      <c r="K281" t="s">
        <v>54</v>
      </c>
      <c r="L281">
        <v>2021</v>
      </c>
      <c r="M281">
        <v>1</v>
      </c>
      <c r="N281">
        <v>1.75</v>
      </c>
      <c r="O281">
        <v>1.75</v>
      </c>
      <c r="P281">
        <v>0.5</v>
      </c>
      <c r="Q281">
        <v>2.7</v>
      </c>
      <c r="R281">
        <v>3.4</v>
      </c>
      <c r="S281">
        <v>2.6</v>
      </c>
      <c r="T281">
        <v>2.65</v>
      </c>
      <c r="U281">
        <v>3.4</v>
      </c>
      <c r="V281">
        <v>2.65</v>
      </c>
      <c r="W281">
        <v>2.8</v>
      </c>
      <c r="X281">
        <v>3.35</v>
      </c>
      <c r="Y281">
        <v>2.5499999999999998</v>
      </c>
      <c r="Z281">
        <v>2.82</v>
      </c>
      <c r="AA281">
        <v>3.5</v>
      </c>
      <c r="AB281">
        <v>2.62</v>
      </c>
      <c r="AC281">
        <v>2.62</v>
      </c>
      <c r="AD281">
        <v>3.3</v>
      </c>
      <c r="AE281">
        <v>2.62</v>
      </c>
      <c r="AF281">
        <v>2.7</v>
      </c>
      <c r="AG281">
        <v>3.4</v>
      </c>
      <c r="AH281">
        <v>2.6</v>
      </c>
      <c r="AI281">
        <v>2.82</v>
      </c>
      <c r="AJ281">
        <v>3.63</v>
      </c>
      <c r="AK281">
        <v>2.75</v>
      </c>
      <c r="AL281">
        <v>2.72</v>
      </c>
      <c r="AM281">
        <v>3.44</v>
      </c>
      <c r="AN281">
        <v>2.61</v>
      </c>
      <c r="AO281">
        <v>1</v>
      </c>
      <c r="AP281">
        <v>0.356847941488734</v>
      </c>
      <c r="AQ281">
        <v>0.277220714875545</v>
      </c>
      <c r="AR281">
        <v>0.36593134363572</v>
      </c>
      <c r="AS281">
        <v>1</v>
      </c>
      <c r="AT281">
        <v>6.3111949982304003E-3</v>
      </c>
      <c r="AU281">
        <v>1.82203800715382</v>
      </c>
      <c r="AV281">
        <f t="shared" si="25"/>
        <v>2326474283.4422622</v>
      </c>
      <c r="AW281">
        <f t="shared" si="26"/>
        <v>830197558.97284925</v>
      </c>
      <c r="AX281">
        <f t="shared" si="27"/>
        <v>644946863.99543655</v>
      </c>
      <c r="AY281">
        <f t="shared" si="28"/>
        <v>851329860.47397637</v>
      </c>
      <c r="AZ281" cm="1">
        <f t="array" ref="AZ281">_xlfn.IFS(E281="H",AW281*AI281-AV281,E281="D",AX281*AJ281-AV281,E281="A",AY281*AK281-AV281)</f>
        <v>14682832.861172199</v>
      </c>
      <c r="BA281">
        <f t="shared" si="29"/>
        <v>234277676.1551002</v>
      </c>
    </row>
    <row r="282" spans="1:53" x14ac:dyDescent="0.2">
      <c r="A282">
        <v>37</v>
      </c>
      <c r="B282" t="s">
        <v>67</v>
      </c>
      <c r="C282" s="1">
        <v>44332</v>
      </c>
      <c r="D282" t="s">
        <v>183</v>
      </c>
      <c r="E282" t="s">
        <v>57</v>
      </c>
      <c r="F282" t="s">
        <v>351</v>
      </c>
      <c r="G282" t="s">
        <v>376</v>
      </c>
      <c r="H282" t="s">
        <v>256</v>
      </c>
      <c r="I282" t="s">
        <v>372</v>
      </c>
      <c r="J282" t="s">
        <v>276</v>
      </c>
      <c r="K282" t="s">
        <v>54</v>
      </c>
      <c r="L282">
        <v>2021</v>
      </c>
      <c r="M282">
        <v>0.25</v>
      </c>
      <c r="N282">
        <v>1.25</v>
      </c>
      <c r="O282">
        <v>0.75</v>
      </c>
      <c r="P282">
        <v>2.25</v>
      </c>
      <c r="Q282">
        <v>1.45</v>
      </c>
      <c r="R282">
        <v>4.75</v>
      </c>
      <c r="S282">
        <v>6</v>
      </c>
      <c r="T282">
        <v>1.53</v>
      </c>
      <c r="U282">
        <v>4.5999999999999996</v>
      </c>
      <c r="V282">
        <v>5.5</v>
      </c>
      <c r="W282">
        <v>1.5</v>
      </c>
      <c r="X282">
        <v>4.8</v>
      </c>
      <c r="Y282">
        <v>5.75</v>
      </c>
      <c r="Z282">
        <v>1.51</v>
      </c>
      <c r="AA282">
        <v>4.7699999999999996</v>
      </c>
      <c r="AB282">
        <v>6.13</v>
      </c>
      <c r="AC282">
        <v>1.47</v>
      </c>
      <c r="AD282">
        <v>4.5</v>
      </c>
      <c r="AE282">
        <v>6.5</v>
      </c>
      <c r="AF282">
        <v>1.44</v>
      </c>
      <c r="AG282">
        <v>4.5</v>
      </c>
      <c r="AH282">
        <v>7</v>
      </c>
      <c r="AI282">
        <v>1.59</v>
      </c>
      <c r="AJ282">
        <v>4.9000000000000004</v>
      </c>
      <c r="AK282">
        <v>7</v>
      </c>
      <c r="AL282">
        <v>1.5</v>
      </c>
      <c r="AM282">
        <v>4.67</v>
      </c>
      <c r="AN282">
        <v>6.03</v>
      </c>
      <c r="AO282">
        <v>1</v>
      </c>
      <c r="AP282">
        <v>0.64448244114165398</v>
      </c>
      <c r="AQ282">
        <v>0.20912797579902601</v>
      </c>
      <c r="AR282">
        <v>0.14638958305931801</v>
      </c>
      <c r="AS282">
        <v>0.999999999999999</v>
      </c>
      <c r="AT282">
        <v>2.4727081415230698E-2</v>
      </c>
      <c r="AU282">
        <v>1.8467650885690501</v>
      </c>
      <c r="AV282">
        <f t="shared" si="25"/>
        <v>2560751959.5973625</v>
      </c>
      <c r="AW282">
        <f t="shared" si="26"/>
        <v>1650359674.0795839</v>
      </c>
      <c r="AX282">
        <f t="shared" si="27"/>
        <v>535524873.83398736</v>
      </c>
      <c r="AY282">
        <f t="shared" si="28"/>
        <v>374867411.68379116</v>
      </c>
      <c r="AZ282" cm="1">
        <f t="array" ref="AZ282">_xlfn.IFS(E282="H",AW282*AI282-AV282,E282="D",AX282*AJ282-AV282,E282="A",AY282*AK282-AV282)</f>
        <v>63319922.189175606</v>
      </c>
      <c r="BA282">
        <f t="shared" si="29"/>
        <v>297597598.34427583</v>
      </c>
    </row>
    <row r="283" spans="1:53" x14ac:dyDescent="0.2">
      <c r="A283">
        <v>37</v>
      </c>
      <c r="B283" t="s">
        <v>67</v>
      </c>
      <c r="C283" s="1">
        <v>44332</v>
      </c>
      <c r="D283" t="s">
        <v>107</v>
      </c>
      <c r="E283" t="s">
        <v>74</v>
      </c>
      <c r="F283" t="s">
        <v>187</v>
      </c>
      <c r="G283" t="s">
        <v>109</v>
      </c>
      <c r="H283" t="s">
        <v>256</v>
      </c>
      <c r="I283" t="s">
        <v>188</v>
      </c>
      <c r="J283" t="s">
        <v>317</v>
      </c>
      <c r="K283" t="s">
        <v>54</v>
      </c>
      <c r="L283">
        <v>2021</v>
      </c>
      <c r="M283">
        <v>0</v>
      </c>
      <c r="N283">
        <v>1.75</v>
      </c>
      <c r="O283">
        <v>2.25</v>
      </c>
      <c r="P283">
        <v>1.5</v>
      </c>
      <c r="Q283">
        <v>5.25</v>
      </c>
      <c r="R283">
        <v>4.75</v>
      </c>
      <c r="S283">
        <v>1.53</v>
      </c>
      <c r="T283">
        <v>5.5</v>
      </c>
      <c r="U283">
        <v>4.33</v>
      </c>
      <c r="V283">
        <v>1.57</v>
      </c>
      <c r="W283">
        <v>5.5</v>
      </c>
      <c r="X283">
        <v>4.7</v>
      </c>
      <c r="Y283">
        <v>1.53</v>
      </c>
      <c r="Z283">
        <v>5.72</v>
      </c>
      <c r="AA283">
        <v>4.3899999999999997</v>
      </c>
      <c r="AB283">
        <v>1.58</v>
      </c>
      <c r="AC283">
        <v>5.8</v>
      </c>
      <c r="AD283">
        <v>4.33</v>
      </c>
      <c r="AE283">
        <v>1.55</v>
      </c>
      <c r="AF283">
        <v>6</v>
      </c>
      <c r="AG283">
        <v>4.33</v>
      </c>
      <c r="AH283">
        <v>1.5</v>
      </c>
      <c r="AI283">
        <v>6</v>
      </c>
      <c r="AJ283">
        <v>4.75</v>
      </c>
      <c r="AK283">
        <v>1.65</v>
      </c>
      <c r="AL283">
        <v>5.52</v>
      </c>
      <c r="AM283">
        <v>4.43</v>
      </c>
      <c r="AN283">
        <v>1.56</v>
      </c>
      <c r="AO283">
        <v>1</v>
      </c>
      <c r="AP283">
        <v>0.169505271695052</v>
      </c>
      <c r="AQ283">
        <v>0.21411192214111899</v>
      </c>
      <c r="AR283">
        <v>0.61638280616382801</v>
      </c>
      <c r="AS283">
        <v>1</v>
      </c>
      <c r="AT283">
        <v>1.7031630170316302E-2</v>
      </c>
      <c r="AU283">
        <v>1.86379671873937</v>
      </c>
      <c r="AV283">
        <f t="shared" si="25"/>
        <v>2858349557.9416385</v>
      </c>
      <c r="AW283">
        <f t="shared" si="26"/>
        <v>484505318.41833121</v>
      </c>
      <c r="AX283">
        <f t="shared" si="27"/>
        <v>612006718.00210273</v>
      </c>
      <c r="AY283">
        <f t="shared" si="28"/>
        <v>1761837521.5212047</v>
      </c>
      <c r="AZ283" cm="1">
        <f t="array" ref="AZ283">_xlfn.IFS(E283="H",AW283*AI283-AV283,E283="D",AX283*AJ283-AV283,E283="A",AY283*AK283-AV283)</f>
        <v>48682352.568349361</v>
      </c>
      <c r="BA283">
        <f t="shared" si="29"/>
        <v>346279950.91262519</v>
      </c>
    </row>
    <row r="284" spans="1:53" x14ac:dyDescent="0.2">
      <c r="A284">
        <v>37</v>
      </c>
      <c r="B284" t="s">
        <v>67</v>
      </c>
      <c r="C284" s="1">
        <v>44332</v>
      </c>
      <c r="D284" t="s">
        <v>190</v>
      </c>
      <c r="E284" t="s">
        <v>74</v>
      </c>
      <c r="F284" t="s">
        <v>382</v>
      </c>
      <c r="G284" t="s">
        <v>384</v>
      </c>
      <c r="H284" t="s">
        <v>256</v>
      </c>
      <c r="I284" t="s">
        <v>383</v>
      </c>
      <c r="J284" t="s">
        <v>349</v>
      </c>
      <c r="K284" t="s">
        <v>54</v>
      </c>
      <c r="L284">
        <v>2021</v>
      </c>
      <c r="M284">
        <v>1.75</v>
      </c>
      <c r="N284">
        <v>1</v>
      </c>
      <c r="O284">
        <v>0.25</v>
      </c>
      <c r="P284">
        <v>0.5</v>
      </c>
      <c r="Q284">
        <v>3.2</v>
      </c>
      <c r="R284">
        <v>3.1</v>
      </c>
      <c r="S284">
        <v>2.35</v>
      </c>
      <c r="T284">
        <v>3.1</v>
      </c>
      <c r="U284">
        <v>3.1</v>
      </c>
      <c r="V284">
        <v>2.4500000000000002</v>
      </c>
      <c r="W284">
        <v>3.2</v>
      </c>
      <c r="X284">
        <v>3.1</v>
      </c>
      <c r="Y284">
        <v>2.4</v>
      </c>
      <c r="Z284">
        <v>3.35</v>
      </c>
      <c r="AA284">
        <v>3.21</v>
      </c>
      <c r="AB284">
        <v>2.38</v>
      </c>
      <c r="AC284">
        <v>3.2</v>
      </c>
      <c r="AD284">
        <v>3.1</v>
      </c>
      <c r="AE284">
        <v>2.4</v>
      </c>
      <c r="AF284">
        <v>3.13</v>
      </c>
      <c r="AG284">
        <v>3.13</v>
      </c>
      <c r="AH284">
        <v>2.38</v>
      </c>
      <c r="AI284">
        <v>3.45</v>
      </c>
      <c r="AJ284">
        <v>3.29</v>
      </c>
      <c r="AK284">
        <v>2.5</v>
      </c>
      <c r="AL284">
        <v>3.21</v>
      </c>
      <c r="AM284">
        <v>3.13</v>
      </c>
      <c r="AN284">
        <v>2.4</v>
      </c>
      <c r="AO284">
        <v>1</v>
      </c>
      <c r="AP284">
        <v>0.29166149536355701</v>
      </c>
      <c r="AQ284">
        <v>0.305845641034733</v>
      </c>
      <c r="AR284">
        <v>0.40249286360170899</v>
      </c>
      <c r="AS284">
        <v>1</v>
      </c>
      <c r="AT284">
        <v>6.2321590042728704E-3</v>
      </c>
      <c r="AU284">
        <v>1.87002887774364</v>
      </c>
      <c r="AV284">
        <f t="shared" si="25"/>
        <v>3204629508.8542638</v>
      </c>
      <c r="AW284">
        <f t="shared" si="26"/>
        <v>934667034.63861692</v>
      </c>
      <c r="AX284">
        <f t="shared" si="27"/>
        <v>980121966.41435528</v>
      </c>
      <c r="AY284">
        <f t="shared" si="28"/>
        <v>1289840507.8012915</v>
      </c>
      <c r="AZ284" cm="1">
        <f t="array" ref="AZ284">_xlfn.IFS(E284="H",AW284*AI284-AV284,E284="D",AX284*AJ284-AV284,E284="A",AY284*AK284-AV284)</f>
        <v>19971760.648964882</v>
      </c>
      <c r="BA284">
        <f t="shared" si="29"/>
        <v>366251711.56159008</v>
      </c>
    </row>
    <row r="285" spans="1:53" x14ac:dyDescent="0.2">
      <c r="A285">
        <v>37</v>
      </c>
      <c r="B285" t="s">
        <v>67</v>
      </c>
      <c r="C285" s="1">
        <v>44332</v>
      </c>
      <c r="D285" t="s">
        <v>68</v>
      </c>
      <c r="E285" t="s">
        <v>49</v>
      </c>
      <c r="F285" t="s">
        <v>135</v>
      </c>
      <c r="G285" t="s">
        <v>69</v>
      </c>
      <c r="H285" t="s">
        <v>256</v>
      </c>
      <c r="I285" t="s">
        <v>136</v>
      </c>
      <c r="J285" t="s">
        <v>61</v>
      </c>
      <c r="K285" t="s">
        <v>54</v>
      </c>
      <c r="L285">
        <v>2021</v>
      </c>
      <c r="M285">
        <v>1.75</v>
      </c>
      <c r="N285">
        <v>2.25</v>
      </c>
      <c r="O285">
        <v>1.75</v>
      </c>
      <c r="P285">
        <v>2</v>
      </c>
      <c r="Q285">
        <v>1.65</v>
      </c>
      <c r="R285">
        <v>4</v>
      </c>
      <c r="S285">
        <v>4.75</v>
      </c>
      <c r="T285">
        <v>1.67</v>
      </c>
      <c r="U285">
        <v>4.0999999999999996</v>
      </c>
      <c r="V285">
        <v>4.75</v>
      </c>
      <c r="W285">
        <v>1.7</v>
      </c>
      <c r="X285">
        <v>3.9</v>
      </c>
      <c r="Y285">
        <v>4.8</v>
      </c>
      <c r="Z285">
        <v>1.72</v>
      </c>
      <c r="AA285">
        <v>4.03</v>
      </c>
      <c r="AB285">
        <v>5</v>
      </c>
      <c r="AC285">
        <v>1.67</v>
      </c>
      <c r="AD285">
        <v>3.7</v>
      </c>
      <c r="AE285">
        <v>5.25</v>
      </c>
      <c r="AF285">
        <v>1.67</v>
      </c>
      <c r="AG285">
        <v>3.7</v>
      </c>
      <c r="AH285">
        <v>5</v>
      </c>
      <c r="AI285">
        <v>1.74</v>
      </c>
      <c r="AJ285">
        <v>4.0999999999999996</v>
      </c>
      <c r="AK285">
        <v>5.55</v>
      </c>
      <c r="AL285">
        <v>1.69</v>
      </c>
      <c r="AM285">
        <v>3.92</v>
      </c>
      <c r="AN285">
        <v>4.9400000000000004</v>
      </c>
      <c r="AO285">
        <v>1</v>
      </c>
      <c r="AP285">
        <v>0.575405856470945</v>
      </c>
      <c r="AQ285">
        <v>0.244196631770596</v>
      </c>
      <c r="AR285">
        <v>0.180397511758458</v>
      </c>
      <c r="AS285">
        <v>1</v>
      </c>
      <c r="AT285">
        <v>1.2061902594449E-3</v>
      </c>
      <c r="AU285">
        <v>1.87123506800309</v>
      </c>
      <c r="AV285">
        <f t="shared" si="25"/>
        <v>3570881220.415854</v>
      </c>
      <c r="AW285">
        <f t="shared" si="26"/>
        <v>2054705966.9893987</v>
      </c>
      <c r="AX285">
        <f t="shared" si="27"/>
        <v>871997166.47842765</v>
      </c>
      <c r="AY285">
        <f t="shared" si="28"/>
        <v>644178086.94802761</v>
      </c>
      <c r="AZ285" cm="1">
        <f t="array" ref="AZ285">_xlfn.IFS(E285="H",AW285*AI285-AV285,E285="D",AX285*AJ285-AV285,E285="A",AY285*AK285-AV285)</f>
        <v>4307162.1456999779</v>
      </c>
      <c r="BA285">
        <f t="shared" si="29"/>
        <v>370558873.70729005</v>
      </c>
    </row>
    <row r="286" spans="1:53" x14ac:dyDescent="0.2">
      <c r="A286">
        <v>37</v>
      </c>
      <c r="B286" t="s">
        <v>67</v>
      </c>
      <c r="C286" s="1">
        <v>44332</v>
      </c>
      <c r="D286" t="s">
        <v>68</v>
      </c>
      <c r="E286" t="s">
        <v>49</v>
      </c>
      <c r="F286" t="s">
        <v>70</v>
      </c>
      <c r="G286" t="s">
        <v>216</v>
      </c>
      <c r="H286" t="s">
        <v>256</v>
      </c>
      <c r="I286" t="s">
        <v>333</v>
      </c>
      <c r="J286" t="s">
        <v>328</v>
      </c>
      <c r="K286" t="s">
        <v>54</v>
      </c>
      <c r="L286">
        <v>2021</v>
      </c>
      <c r="M286">
        <v>1.5</v>
      </c>
      <c r="N286">
        <v>1.5</v>
      </c>
      <c r="O286">
        <v>2</v>
      </c>
      <c r="P286">
        <v>1.25</v>
      </c>
      <c r="Q286">
        <v>1.1000000000000001</v>
      </c>
      <c r="R286">
        <v>10</v>
      </c>
      <c r="S286">
        <v>23</v>
      </c>
      <c r="T286">
        <v>1.1100000000000001</v>
      </c>
      <c r="U286">
        <v>9.75</v>
      </c>
      <c r="V286">
        <v>21</v>
      </c>
      <c r="W286">
        <v>1.1200000000000001</v>
      </c>
      <c r="X286">
        <v>9.5</v>
      </c>
      <c r="Y286">
        <v>23</v>
      </c>
      <c r="Z286">
        <v>1.1299999999999999</v>
      </c>
      <c r="AA286">
        <v>10.34</v>
      </c>
      <c r="AB286">
        <v>20.82</v>
      </c>
      <c r="AC286">
        <v>1.1100000000000001</v>
      </c>
      <c r="AD286">
        <v>8.5</v>
      </c>
      <c r="AE286">
        <v>23</v>
      </c>
      <c r="AF286">
        <v>1.07</v>
      </c>
      <c r="AG286">
        <v>10</v>
      </c>
      <c r="AH286">
        <v>26</v>
      </c>
      <c r="AI286">
        <v>1.1399999999999999</v>
      </c>
      <c r="AJ286">
        <v>11</v>
      </c>
      <c r="AK286">
        <v>33.44</v>
      </c>
      <c r="AL286">
        <v>1.1100000000000001</v>
      </c>
      <c r="AM286">
        <v>9.7799999999999994</v>
      </c>
      <c r="AN286">
        <v>22.15</v>
      </c>
      <c r="AO286">
        <v>1</v>
      </c>
      <c r="AP286">
        <v>0.87894526568118203</v>
      </c>
      <c r="AQ286">
        <v>9.1090691170595206E-2</v>
      </c>
      <c r="AR286">
        <v>2.99640431482221E-2</v>
      </c>
      <c r="AS286">
        <v>1</v>
      </c>
      <c r="AT286">
        <v>1.9976028765480401E-3</v>
      </c>
      <c r="AU286">
        <v>1.8732326708796401</v>
      </c>
      <c r="AV286">
        <f t="shared" si="25"/>
        <v>3941440094.1231441</v>
      </c>
      <c r="AW286">
        <f t="shared" si="26"/>
        <v>3464310110.6955323</v>
      </c>
      <c r="AX286">
        <f t="shared" si="27"/>
        <v>359028502.38117331</v>
      </c>
      <c r="AY286">
        <f t="shared" si="28"/>
        <v>118101481.04643859</v>
      </c>
      <c r="AZ286" cm="1">
        <f t="array" ref="AZ286">_xlfn.IFS(E286="H",AW286*AI286-AV286,E286="D",AX286*AJ286-AV286,E286="A",AY286*AK286-AV286)</f>
        <v>7873432.0697622299</v>
      </c>
      <c r="BA286">
        <f t="shared" si="29"/>
        <v>378432305.77705228</v>
      </c>
    </row>
    <row r="287" spans="1:53" x14ac:dyDescent="0.2">
      <c r="A287">
        <v>37</v>
      </c>
      <c r="B287" t="s">
        <v>67</v>
      </c>
      <c r="C287" s="1">
        <v>44332</v>
      </c>
      <c r="D287" t="s">
        <v>68</v>
      </c>
      <c r="E287" t="s">
        <v>57</v>
      </c>
      <c r="F287" t="s">
        <v>326</v>
      </c>
      <c r="G287" t="s">
        <v>217</v>
      </c>
      <c r="H287" t="s">
        <v>256</v>
      </c>
      <c r="I287" t="s">
        <v>327</v>
      </c>
      <c r="J287" t="s">
        <v>386</v>
      </c>
      <c r="K287" t="s">
        <v>54</v>
      </c>
      <c r="L287">
        <v>2021</v>
      </c>
      <c r="M287">
        <v>1.75</v>
      </c>
      <c r="N287">
        <v>1.5</v>
      </c>
      <c r="O287">
        <v>2.25</v>
      </c>
      <c r="P287">
        <v>1.75</v>
      </c>
      <c r="Q287">
        <v>1.33</v>
      </c>
      <c r="R287">
        <v>5</v>
      </c>
      <c r="S287">
        <v>9.5</v>
      </c>
      <c r="T287">
        <v>1.36</v>
      </c>
      <c r="U287">
        <v>5</v>
      </c>
      <c r="V287">
        <v>8.75</v>
      </c>
      <c r="W287">
        <v>1.33</v>
      </c>
      <c r="X287">
        <v>4.8</v>
      </c>
      <c r="Y287">
        <v>11</v>
      </c>
      <c r="Z287">
        <v>1.37</v>
      </c>
      <c r="AA287">
        <v>4.95</v>
      </c>
      <c r="AB287">
        <v>10.35</v>
      </c>
      <c r="AC287">
        <v>1.36</v>
      </c>
      <c r="AD287">
        <v>4.5</v>
      </c>
      <c r="AE287">
        <v>9.5</v>
      </c>
      <c r="AF287">
        <v>1.33</v>
      </c>
      <c r="AG287">
        <v>4.5999999999999996</v>
      </c>
      <c r="AH287">
        <v>9.5</v>
      </c>
      <c r="AI287">
        <v>1.42</v>
      </c>
      <c r="AJ287">
        <v>5.0999999999999996</v>
      </c>
      <c r="AK287">
        <v>11</v>
      </c>
      <c r="AL287">
        <v>1.36</v>
      </c>
      <c r="AM287">
        <v>4.84</v>
      </c>
      <c r="AN287">
        <v>9.35</v>
      </c>
      <c r="AO287">
        <v>1</v>
      </c>
      <c r="AP287">
        <v>0.71046832653681502</v>
      </c>
      <c r="AQ287">
        <v>0.19781667131024999</v>
      </c>
      <c r="AR287">
        <v>9.1715002152934294E-2</v>
      </c>
      <c r="AS287">
        <v>1</v>
      </c>
      <c r="AT287">
        <v>8.8650236822773697E-3</v>
      </c>
      <c r="AU287">
        <v>1.8820976945619099</v>
      </c>
      <c r="AV287">
        <f t="shared" si="25"/>
        <v>4319872399.9001961</v>
      </c>
      <c r="AW287">
        <f t="shared" si="26"/>
        <v>3069132514.8096681</v>
      </c>
      <c r="AX287">
        <f t="shared" si="27"/>
        <v>854542778.63328004</v>
      </c>
      <c r="AY287">
        <f t="shared" si="28"/>
        <v>396197106.45724809</v>
      </c>
      <c r="AZ287" cm="1">
        <f t="array" ref="AZ287">_xlfn.IFS(E287="H",AW287*AI287-AV287,E287="D",AX287*AJ287-AV287,E287="A",AY287*AK287-AV287)</f>
        <v>38295771.12953186</v>
      </c>
      <c r="BA287">
        <f t="shared" si="29"/>
        <v>416728076.90658414</v>
      </c>
    </row>
    <row r="288" spans="1:53" x14ac:dyDescent="0.2">
      <c r="A288">
        <v>37</v>
      </c>
      <c r="B288" t="s">
        <v>130</v>
      </c>
      <c r="C288" s="1">
        <v>44334</v>
      </c>
      <c r="D288" t="s">
        <v>414</v>
      </c>
      <c r="E288" t="s">
        <v>49</v>
      </c>
      <c r="F288" t="s">
        <v>284</v>
      </c>
      <c r="G288" t="s">
        <v>101</v>
      </c>
      <c r="H288">
        <v>7945</v>
      </c>
      <c r="I288" t="s">
        <v>285</v>
      </c>
      <c r="J288" t="s">
        <v>94</v>
      </c>
      <c r="K288" t="s">
        <v>54</v>
      </c>
      <c r="L288">
        <v>2021</v>
      </c>
      <c r="M288">
        <v>2</v>
      </c>
      <c r="N288">
        <v>1.5</v>
      </c>
      <c r="O288">
        <v>3</v>
      </c>
      <c r="P288">
        <v>2.5</v>
      </c>
      <c r="Q288">
        <v>7</v>
      </c>
      <c r="R288">
        <v>4.5</v>
      </c>
      <c r="S288">
        <v>1.45</v>
      </c>
      <c r="T288">
        <v>6.75</v>
      </c>
      <c r="U288">
        <v>4.4000000000000004</v>
      </c>
      <c r="V288">
        <v>1.48</v>
      </c>
      <c r="W288">
        <v>6.5</v>
      </c>
      <c r="X288">
        <v>4.4000000000000004</v>
      </c>
      <c r="Y288">
        <v>1.5</v>
      </c>
      <c r="Z288">
        <v>6.89</v>
      </c>
      <c r="AA288">
        <v>4.53</v>
      </c>
      <c r="AB288">
        <v>1.49</v>
      </c>
      <c r="AC288">
        <v>7</v>
      </c>
      <c r="AD288">
        <v>4.2</v>
      </c>
      <c r="AE288">
        <v>1.47</v>
      </c>
      <c r="AF288">
        <v>7.5</v>
      </c>
      <c r="AG288">
        <v>4.5</v>
      </c>
      <c r="AH288">
        <v>1.45</v>
      </c>
      <c r="AI288">
        <v>7.5</v>
      </c>
      <c r="AJ288">
        <v>4.7</v>
      </c>
      <c r="AK288">
        <v>1.53</v>
      </c>
      <c r="AL288">
        <v>6.93</v>
      </c>
      <c r="AM288">
        <v>4.49</v>
      </c>
      <c r="AN288">
        <v>1.49</v>
      </c>
      <c r="AO288">
        <v>1</v>
      </c>
      <c r="AP288">
        <v>0.13337413754729499</v>
      </c>
      <c r="AQ288">
        <v>0.21283107055419501</v>
      </c>
      <c r="AR288">
        <v>0.65379479189850798</v>
      </c>
      <c r="AS288">
        <v>1</v>
      </c>
      <c r="AT288" s="2">
        <v>3.0603160471831498E-4</v>
      </c>
      <c r="AU288">
        <v>1.88240372616663</v>
      </c>
      <c r="AV288">
        <f t="shared" si="25"/>
        <v>4736600476.8067799</v>
      </c>
      <c r="AW288">
        <f t="shared" si="26"/>
        <v>631740003.50021422</v>
      </c>
      <c r="AX288">
        <f t="shared" si="27"/>
        <v>1008095750.2662994</v>
      </c>
      <c r="AY288">
        <f t="shared" si="28"/>
        <v>3096764723.0402665</v>
      </c>
      <c r="AZ288" cm="1">
        <f t="array" ref="AZ288">_xlfn.IFS(E288="H",AW288*AI288-AV288,E288="D",AX288*AJ288-AV288,E288="A",AY288*AK288-AV288)</f>
        <v>1449549.4448270798</v>
      </c>
      <c r="BA288">
        <f t="shared" si="29"/>
        <v>418177626.35141122</v>
      </c>
    </row>
    <row r="289" spans="1:53" x14ac:dyDescent="0.2">
      <c r="A289">
        <v>38</v>
      </c>
      <c r="B289" t="s">
        <v>55</v>
      </c>
      <c r="C289" s="1">
        <v>44338</v>
      </c>
      <c r="D289" t="s">
        <v>107</v>
      </c>
      <c r="E289" t="s">
        <v>74</v>
      </c>
      <c r="F289" t="s">
        <v>166</v>
      </c>
      <c r="G289" t="s">
        <v>291</v>
      </c>
      <c r="H289" t="s">
        <v>256</v>
      </c>
      <c r="I289" t="s">
        <v>379</v>
      </c>
      <c r="J289" t="s">
        <v>164</v>
      </c>
      <c r="K289" t="s">
        <v>54</v>
      </c>
      <c r="L289">
        <v>2021</v>
      </c>
      <c r="M289">
        <v>0.5</v>
      </c>
      <c r="N289">
        <v>0.75</v>
      </c>
      <c r="O289">
        <v>1.25</v>
      </c>
      <c r="P289">
        <v>0.75</v>
      </c>
      <c r="Q289">
        <v>9</v>
      </c>
      <c r="R289">
        <v>5.25</v>
      </c>
      <c r="S289">
        <v>1.33</v>
      </c>
      <c r="T289">
        <v>9</v>
      </c>
      <c r="U289">
        <v>5.25</v>
      </c>
      <c r="V289">
        <v>1.33</v>
      </c>
      <c r="W289">
        <v>8.75</v>
      </c>
      <c r="X289">
        <v>5.25</v>
      </c>
      <c r="Y289">
        <v>1.35</v>
      </c>
      <c r="Z289">
        <v>9.4499999999999993</v>
      </c>
      <c r="AA289">
        <v>5.47</v>
      </c>
      <c r="AB289">
        <v>1.35</v>
      </c>
      <c r="AC289">
        <v>10</v>
      </c>
      <c r="AD289">
        <v>5</v>
      </c>
      <c r="AE289">
        <v>1.33</v>
      </c>
      <c r="AF289">
        <v>9</v>
      </c>
      <c r="AG289">
        <v>5</v>
      </c>
      <c r="AH289">
        <v>1.33</v>
      </c>
      <c r="AI289">
        <v>10.75</v>
      </c>
      <c r="AJ289">
        <v>5.75</v>
      </c>
      <c r="AK289">
        <v>1.37</v>
      </c>
      <c r="AL289">
        <v>9.1999999999999993</v>
      </c>
      <c r="AM289">
        <v>5.27</v>
      </c>
      <c r="AN289">
        <v>1.34</v>
      </c>
      <c r="AO289">
        <v>1</v>
      </c>
      <c r="AP289">
        <v>9.3315959368614296E-2</v>
      </c>
      <c r="AQ289">
        <v>0.17446027186306101</v>
      </c>
      <c r="AR289">
        <v>0.73222376876832396</v>
      </c>
      <c r="AS289">
        <v>1</v>
      </c>
      <c r="AT289">
        <v>3.1465632126039798E-3</v>
      </c>
      <c r="AU289">
        <v>1.88555028937924</v>
      </c>
      <c r="AV289">
        <f t="shared" si="25"/>
        <v>5154778103.1581907</v>
      </c>
      <c r="AW289">
        <f t="shared" si="26"/>
        <v>481023064.02853262</v>
      </c>
      <c r="AX289">
        <f t="shared" si="27"/>
        <v>899303989.27073479</v>
      </c>
      <c r="AY289">
        <f t="shared" si="28"/>
        <v>3774451049.8589234</v>
      </c>
      <c r="AZ289" cm="1">
        <f t="array" ref="AZ289">_xlfn.IFS(E289="H",AW289*AI289-AV289,E289="D",AX289*AJ289-AV289,E289="A",AY289*AK289-AV289)</f>
        <v>16219835.148534775</v>
      </c>
      <c r="BA289">
        <f t="shared" si="29"/>
        <v>434397461.499946</v>
      </c>
    </row>
    <row r="290" spans="1:53" x14ac:dyDescent="0.2">
      <c r="A290">
        <v>38</v>
      </c>
      <c r="B290" t="s">
        <v>67</v>
      </c>
      <c r="C290" s="1">
        <v>44339</v>
      </c>
      <c r="D290" t="s">
        <v>48</v>
      </c>
      <c r="E290" t="s">
        <v>74</v>
      </c>
      <c r="F290" t="s">
        <v>241</v>
      </c>
      <c r="G290" t="s">
        <v>132</v>
      </c>
      <c r="H290" t="s">
        <v>256</v>
      </c>
      <c r="I290" t="s">
        <v>242</v>
      </c>
      <c r="J290" t="s">
        <v>208</v>
      </c>
      <c r="K290" t="s">
        <v>54</v>
      </c>
      <c r="L290">
        <v>2021</v>
      </c>
      <c r="M290">
        <v>1.25</v>
      </c>
      <c r="N290">
        <v>2</v>
      </c>
      <c r="O290">
        <v>1.75</v>
      </c>
      <c r="P290">
        <v>1.5</v>
      </c>
      <c r="Q290">
        <v>10.5</v>
      </c>
      <c r="R290">
        <v>7</v>
      </c>
      <c r="S290">
        <v>1.22</v>
      </c>
      <c r="T290">
        <v>10</v>
      </c>
      <c r="U290">
        <v>6.75</v>
      </c>
      <c r="V290">
        <v>1.25</v>
      </c>
      <c r="W290">
        <v>10</v>
      </c>
      <c r="X290">
        <v>6.75</v>
      </c>
      <c r="Y290">
        <v>1.25</v>
      </c>
      <c r="Z290">
        <v>13.28</v>
      </c>
      <c r="AA290">
        <v>6.69</v>
      </c>
      <c r="AB290">
        <v>1.24</v>
      </c>
      <c r="AC290">
        <v>13</v>
      </c>
      <c r="AD290">
        <v>6</v>
      </c>
      <c r="AE290">
        <v>1.24</v>
      </c>
      <c r="AF290">
        <v>13</v>
      </c>
      <c r="AG290">
        <v>6.5</v>
      </c>
      <c r="AH290">
        <v>1.2</v>
      </c>
      <c r="AI290">
        <v>13.28</v>
      </c>
      <c r="AJ290">
        <v>7.1</v>
      </c>
      <c r="AK290">
        <v>1.28</v>
      </c>
      <c r="AL290">
        <v>11.64</v>
      </c>
      <c r="AM290">
        <v>6.62</v>
      </c>
      <c r="AN290">
        <v>1.24</v>
      </c>
      <c r="AO290">
        <v>1</v>
      </c>
      <c r="AP290">
        <v>7.5497780258925395E-2</v>
      </c>
      <c r="AQ290">
        <v>0.14121274955472199</v>
      </c>
      <c r="AR290">
        <v>0.78328947018635098</v>
      </c>
      <c r="AS290">
        <v>1</v>
      </c>
      <c r="AT290">
        <v>2.6105218385303799E-3</v>
      </c>
      <c r="AU290">
        <v>1.8881608112177699</v>
      </c>
      <c r="AV290">
        <f t="shared" si="25"/>
        <v>5589175564.6581364</v>
      </c>
      <c r="AW290">
        <f t="shared" si="26"/>
        <v>421970348.60911572</v>
      </c>
      <c r="AX290">
        <f t="shared" si="27"/>
        <v>789262849.22944474</v>
      </c>
      <c r="AY290">
        <f t="shared" si="28"/>
        <v>4377942366.8195753</v>
      </c>
      <c r="AZ290" cm="1">
        <f t="array" ref="AZ290">_xlfn.IFS(E290="H",AW290*AI290-AV290,E290="D",AX290*AJ290-AV290,E290="A",AY290*AK290-AV290)</f>
        <v>14590664.870920181</v>
      </c>
      <c r="BA290">
        <f t="shared" si="29"/>
        <v>448988126.37086618</v>
      </c>
    </row>
    <row r="291" spans="1:53" x14ac:dyDescent="0.2">
      <c r="A291">
        <v>38</v>
      </c>
      <c r="B291" t="s">
        <v>67</v>
      </c>
      <c r="C291" s="1">
        <v>44339</v>
      </c>
      <c r="D291" t="s">
        <v>48</v>
      </c>
      <c r="E291" t="s">
        <v>49</v>
      </c>
      <c r="F291" t="s">
        <v>109</v>
      </c>
      <c r="G291" t="s">
        <v>184</v>
      </c>
      <c r="H291" t="s">
        <v>256</v>
      </c>
      <c r="I291" t="s">
        <v>123</v>
      </c>
      <c r="J291" t="s">
        <v>325</v>
      </c>
      <c r="K291" t="s">
        <v>54</v>
      </c>
      <c r="L291">
        <v>2021</v>
      </c>
      <c r="M291">
        <v>1.75</v>
      </c>
      <c r="N291">
        <v>1.5</v>
      </c>
      <c r="O291">
        <v>0.75</v>
      </c>
      <c r="P291">
        <v>0.75</v>
      </c>
      <c r="Q291">
        <v>1.9</v>
      </c>
      <c r="R291">
        <v>4.33</v>
      </c>
      <c r="S291">
        <v>3.25</v>
      </c>
      <c r="T291">
        <v>1.95</v>
      </c>
      <c r="U291">
        <v>4.25</v>
      </c>
      <c r="V291">
        <v>3.3</v>
      </c>
      <c r="W291">
        <v>1.9</v>
      </c>
      <c r="X291">
        <v>4.3</v>
      </c>
      <c r="Y291">
        <v>3.4</v>
      </c>
      <c r="Z291">
        <v>1.93</v>
      </c>
      <c r="AA291">
        <v>4.58</v>
      </c>
      <c r="AB291">
        <v>3.42</v>
      </c>
      <c r="AC291">
        <v>1.95</v>
      </c>
      <c r="AD291">
        <v>4.2</v>
      </c>
      <c r="AE291">
        <v>3.4</v>
      </c>
      <c r="AF291">
        <v>1.91</v>
      </c>
      <c r="AG291">
        <v>3.9</v>
      </c>
      <c r="AH291">
        <v>3.6</v>
      </c>
      <c r="AI291">
        <v>2</v>
      </c>
      <c r="AJ291">
        <v>4.5999999999999996</v>
      </c>
      <c r="AK291">
        <v>3.68</v>
      </c>
      <c r="AL291">
        <v>1.93</v>
      </c>
      <c r="AM291">
        <v>4.34</v>
      </c>
      <c r="AN291">
        <v>3.38</v>
      </c>
      <c r="AO291">
        <v>1</v>
      </c>
      <c r="AP291">
        <v>0.50549450549450503</v>
      </c>
      <c r="AQ291">
        <v>0.219780219780219</v>
      </c>
      <c r="AR291">
        <v>0.27472527472527403</v>
      </c>
      <c r="AS291">
        <v>1</v>
      </c>
      <c r="AT291">
        <v>1.09890109890109E-2</v>
      </c>
      <c r="AU291">
        <v>1.89914982220678</v>
      </c>
      <c r="AV291">
        <f t="shared" si="25"/>
        <v>6038163691.0290022</v>
      </c>
      <c r="AW291">
        <f t="shared" si="26"/>
        <v>3052258569.0915833</v>
      </c>
      <c r="AX291">
        <f t="shared" si="27"/>
        <v>1327068943.0832973</v>
      </c>
      <c r="AY291">
        <f t="shared" si="28"/>
        <v>1658836178.8541217</v>
      </c>
      <c r="AZ291" cm="1">
        <f t="array" ref="AZ291">_xlfn.IFS(E291="H",AW291*AI291-AV291,E291="D",AX291*AJ291-AV291,E291="A",AY291*AK291-AV291)</f>
        <v>66353447.154164314</v>
      </c>
      <c r="BA291">
        <f t="shared" si="29"/>
        <v>515341573.52503049</v>
      </c>
    </row>
    <row r="292" spans="1:53" x14ac:dyDescent="0.2">
      <c r="A292">
        <v>38</v>
      </c>
      <c r="B292" t="s">
        <v>67</v>
      </c>
      <c r="C292" s="1">
        <v>44339</v>
      </c>
      <c r="D292" t="s">
        <v>68</v>
      </c>
      <c r="E292" t="s">
        <v>74</v>
      </c>
      <c r="F292" t="s">
        <v>216</v>
      </c>
      <c r="G292" t="s">
        <v>63</v>
      </c>
      <c r="H292" t="s">
        <v>256</v>
      </c>
      <c r="I292" t="s">
        <v>218</v>
      </c>
      <c r="J292" t="s">
        <v>386</v>
      </c>
      <c r="K292" t="s">
        <v>54</v>
      </c>
      <c r="L292">
        <v>2021</v>
      </c>
      <c r="M292">
        <v>0.5</v>
      </c>
      <c r="N292">
        <v>0.75</v>
      </c>
      <c r="O292">
        <v>0</v>
      </c>
      <c r="P292">
        <v>0.75</v>
      </c>
      <c r="Q292">
        <v>2.5499999999999998</v>
      </c>
      <c r="R292">
        <v>2.87</v>
      </c>
      <c r="S292">
        <v>3.25</v>
      </c>
      <c r="T292">
        <v>2.4500000000000002</v>
      </c>
      <c r="U292">
        <v>2.85</v>
      </c>
      <c r="V292">
        <v>3.4</v>
      </c>
      <c r="W292">
        <v>2.5499999999999998</v>
      </c>
      <c r="X292">
        <v>2.9</v>
      </c>
      <c r="Y292">
        <v>3.2</v>
      </c>
      <c r="Z292">
        <v>2.61</v>
      </c>
      <c r="AA292">
        <v>2.9</v>
      </c>
      <c r="AB292">
        <v>3.32</v>
      </c>
      <c r="AC292">
        <v>2.5</v>
      </c>
      <c r="AD292">
        <v>2.9</v>
      </c>
      <c r="AE292">
        <v>3.2</v>
      </c>
      <c r="AF292">
        <v>2.4</v>
      </c>
      <c r="AG292">
        <v>3.1</v>
      </c>
      <c r="AH292">
        <v>3</v>
      </c>
      <c r="AI292">
        <v>2.65</v>
      </c>
      <c r="AJ292">
        <v>3.1</v>
      </c>
      <c r="AK292">
        <v>3.4</v>
      </c>
      <c r="AL292">
        <v>2.54</v>
      </c>
      <c r="AM292">
        <v>2.89</v>
      </c>
      <c r="AN292">
        <v>3.22</v>
      </c>
      <c r="AO292">
        <v>1</v>
      </c>
      <c r="AP292">
        <v>0.37961462272645402</v>
      </c>
      <c r="AQ292">
        <v>0.324509274266162</v>
      </c>
      <c r="AR292">
        <v>0.29587610300738298</v>
      </c>
      <c r="AS292">
        <v>1</v>
      </c>
      <c r="AT292">
        <v>5.9787502251036299E-3</v>
      </c>
      <c r="AU292">
        <v>1.9051285724318801</v>
      </c>
      <c r="AV292">
        <f t="shared" si="25"/>
        <v>6553505264.5540323</v>
      </c>
      <c r="AW292">
        <f t="shared" si="26"/>
        <v>2487806428.5395103</v>
      </c>
      <c r="AX292">
        <f t="shared" si="27"/>
        <v>2126673237.2999036</v>
      </c>
      <c r="AY292">
        <f t="shared" si="28"/>
        <v>1939025598.7146184</v>
      </c>
      <c r="AZ292" cm="1">
        <f t="array" ref="AZ292">_xlfn.IFS(E292="H",AW292*AI292-AV292,E292="D",AX292*AJ292-AV292,E292="A",AY292*AK292-AV292)</f>
        <v>39181771.075670242</v>
      </c>
      <c r="BA292">
        <f t="shared" si="29"/>
        <v>554523344.60070074</v>
      </c>
    </row>
    <row r="293" spans="1:53" x14ac:dyDescent="0.2">
      <c r="A293">
        <v>38</v>
      </c>
      <c r="B293" t="s">
        <v>67</v>
      </c>
      <c r="C293" s="1">
        <v>44339</v>
      </c>
      <c r="D293" t="s">
        <v>68</v>
      </c>
      <c r="E293" t="s">
        <v>49</v>
      </c>
      <c r="F293" t="s">
        <v>69</v>
      </c>
      <c r="G293" t="s">
        <v>95</v>
      </c>
      <c r="H293" t="s">
        <v>256</v>
      </c>
      <c r="I293" t="s">
        <v>71</v>
      </c>
      <c r="J293" t="s">
        <v>361</v>
      </c>
      <c r="K293" t="s">
        <v>54</v>
      </c>
      <c r="L293">
        <v>2021</v>
      </c>
      <c r="M293">
        <v>2.5</v>
      </c>
      <c r="N293">
        <v>2</v>
      </c>
      <c r="O293">
        <v>1.75</v>
      </c>
      <c r="P293">
        <v>1.75</v>
      </c>
      <c r="Q293">
        <v>1.3</v>
      </c>
      <c r="R293">
        <v>5.75</v>
      </c>
      <c r="S293">
        <v>9</v>
      </c>
      <c r="T293">
        <v>1.34</v>
      </c>
      <c r="U293">
        <v>5.75</v>
      </c>
      <c r="V293">
        <v>7.75</v>
      </c>
      <c r="W293">
        <v>1.33</v>
      </c>
      <c r="X293">
        <v>5.75</v>
      </c>
      <c r="Y293">
        <v>8.5</v>
      </c>
      <c r="Z293">
        <v>1.32</v>
      </c>
      <c r="AA293">
        <v>5.9</v>
      </c>
      <c r="AB293">
        <v>9.41</v>
      </c>
      <c r="AC293">
        <v>1.32</v>
      </c>
      <c r="AD293">
        <v>5.25</v>
      </c>
      <c r="AE293">
        <v>9</v>
      </c>
      <c r="AF293">
        <v>1.3</v>
      </c>
      <c r="AG293">
        <v>5.25</v>
      </c>
      <c r="AH293">
        <v>9</v>
      </c>
      <c r="AI293">
        <v>1.36</v>
      </c>
      <c r="AJ293">
        <v>6.2</v>
      </c>
      <c r="AK293">
        <v>9.6999999999999993</v>
      </c>
      <c r="AL293">
        <v>1.32</v>
      </c>
      <c r="AM293">
        <v>5.64</v>
      </c>
      <c r="AN293">
        <v>8.7799999999999994</v>
      </c>
      <c r="AO293">
        <v>1</v>
      </c>
      <c r="AP293">
        <v>0.73553152976860203</v>
      </c>
      <c r="AQ293">
        <v>0.161342400078274</v>
      </c>
      <c r="AR293">
        <v>0.103126070153123</v>
      </c>
      <c r="AS293">
        <v>1</v>
      </c>
      <c r="AT293" s="2">
        <v>3.2288048529927001E-4</v>
      </c>
      <c r="AU293">
        <v>1.90545145291718</v>
      </c>
      <c r="AV293">
        <f t="shared" si="25"/>
        <v>7108028609.1547327</v>
      </c>
      <c r="AW293">
        <f t="shared" si="26"/>
        <v>5228179156.5305719</v>
      </c>
      <c r="AX293">
        <f t="shared" si="27"/>
        <v>1146826395.6260607</v>
      </c>
      <c r="AY293">
        <f t="shared" si="28"/>
        <v>733023056.99810076</v>
      </c>
      <c r="AZ293" cm="1">
        <f t="array" ref="AZ293">_xlfn.IFS(E293="H",AW293*AI293-AV293,E293="D",AX293*AJ293-AV293,E293="A",AY293*AK293-AV293)</f>
        <v>2295043.7268457413</v>
      </c>
      <c r="BA293">
        <f t="shared" si="29"/>
        <v>556818388.32754648</v>
      </c>
    </row>
    <row r="294" spans="1:53" x14ac:dyDescent="0.2">
      <c r="A294">
        <v>38</v>
      </c>
      <c r="B294" t="s">
        <v>67</v>
      </c>
      <c r="C294" s="1">
        <v>44339</v>
      </c>
      <c r="D294" t="s">
        <v>322</v>
      </c>
      <c r="E294" t="s">
        <v>74</v>
      </c>
      <c r="F294" t="s">
        <v>153</v>
      </c>
      <c r="G294" t="s">
        <v>227</v>
      </c>
      <c r="H294">
        <v>8000</v>
      </c>
      <c r="I294" t="s">
        <v>179</v>
      </c>
      <c r="J294" t="s">
        <v>129</v>
      </c>
      <c r="K294" t="s">
        <v>54</v>
      </c>
      <c r="L294">
        <v>2021</v>
      </c>
      <c r="M294">
        <v>1.5</v>
      </c>
      <c r="N294">
        <v>1.75</v>
      </c>
      <c r="O294">
        <v>1.25</v>
      </c>
      <c r="P294">
        <v>1.75</v>
      </c>
      <c r="Q294">
        <v>2</v>
      </c>
      <c r="R294">
        <v>4</v>
      </c>
      <c r="S294">
        <v>3.3</v>
      </c>
      <c r="T294">
        <v>2</v>
      </c>
      <c r="U294">
        <v>3.9</v>
      </c>
      <c r="V294">
        <v>3.4</v>
      </c>
      <c r="W294">
        <v>2.0499999999999998</v>
      </c>
      <c r="X294">
        <v>3.85</v>
      </c>
      <c r="Y294">
        <v>3.3</v>
      </c>
      <c r="Z294">
        <v>2.06</v>
      </c>
      <c r="AA294">
        <v>4.1900000000000004</v>
      </c>
      <c r="AB294">
        <v>3.35</v>
      </c>
      <c r="AC294">
        <v>2.0499999999999998</v>
      </c>
      <c r="AD294">
        <v>3.9</v>
      </c>
      <c r="AE294">
        <v>3.3</v>
      </c>
      <c r="AF294">
        <v>2</v>
      </c>
      <c r="AG294">
        <v>3.75</v>
      </c>
      <c r="AH294">
        <v>3.5</v>
      </c>
      <c r="AI294">
        <v>2.11</v>
      </c>
      <c r="AJ294">
        <v>4.2</v>
      </c>
      <c r="AK294">
        <v>3.5</v>
      </c>
      <c r="AL294">
        <v>2.04</v>
      </c>
      <c r="AM294">
        <v>4.0199999999999996</v>
      </c>
      <c r="AN294">
        <v>3.33</v>
      </c>
      <c r="AO294">
        <v>1</v>
      </c>
      <c r="AP294">
        <v>0.47500565482922402</v>
      </c>
      <c r="AQ294">
        <v>0.23863379325944301</v>
      </c>
      <c r="AR294">
        <v>0.28636055191133197</v>
      </c>
      <c r="AS294">
        <v>1</v>
      </c>
      <c r="AT294">
        <v>2.2619316896630398E-3</v>
      </c>
      <c r="AU294">
        <v>1.9077133846068399</v>
      </c>
      <c r="AV294">
        <f t="shared" si="25"/>
        <v>7664846997.4822788</v>
      </c>
      <c r="AW294">
        <f t="shared" si="26"/>
        <v>3640845667.2048826</v>
      </c>
      <c r="AX294">
        <f t="shared" si="27"/>
        <v>1829091513.7624528</v>
      </c>
      <c r="AY294">
        <f t="shared" si="28"/>
        <v>2194909816.5149436</v>
      </c>
      <c r="AZ294" cm="1">
        <f t="array" ref="AZ294">_xlfn.IFS(E294="H",AW294*AI294-AV294,E294="D",AX294*AJ294-AV294,E294="A",AY294*AK294-AV294)</f>
        <v>17337360.320023537</v>
      </c>
      <c r="BA294">
        <f t="shared" si="29"/>
        <v>574155748.64757001</v>
      </c>
    </row>
    <row r="295" spans="1:53" x14ac:dyDescent="0.2">
      <c r="A295">
        <v>38</v>
      </c>
      <c r="B295" t="s">
        <v>67</v>
      </c>
      <c r="C295" s="1">
        <v>44339</v>
      </c>
      <c r="D295" t="s">
        <v>322</v>
      </c>
      <c r="E295" t="s">
        <v>49</v>
      </c>
      <c r="F295" t="s">
        <v>346</v>
      </c>
      <c r="G295" t="s">
        <v>358</v>
      </c>
      <c r="H295">
        <v>8000</v>
      </c>
      <c r="I295" t="s">
        <v>347</v>
      </c>
      <c r="J295" t="s">
        <v>232</v>
      </c>
      <c r="K295" t="s">
        <v>54</v>
      </c>
      <c r="L295">
        <v>2021</v>
      </c>
      <c r="M295">
        <v>2</v>
      </c>
      <c r="N295">
        <v>1.5</v>
      </c>
      <c r="O295">
        <v>1</v>
      </c>
      <c r="P295">
        <v>2</v>
      </c>
      <c r="Q295">
        <v>1.4</v>
      </c>
      <c r="R295">
        <v>5.25</v>
      </c>
      <c r="S295">
        <v>6.5</v>
      </c>
      <c r="T295">
        <v>1.45</v>
      </c>
      <c r="U295">
        <v>5</v>
      </c>
      <c r="V295">
        <v>6.25</v>
      </c>
      <c r="W295">
        <v>1.45</v>
      </c>
      <c r="X295">
        <v>5.25</v>
      </c>
      <c r="Y295">
        <v>6.25</v>
      </c>
      <c r="Z295">
        <v>1.45</v>
      </c>
      <c r="AA295">
        <v>5.24</v>
      </c>
      <c r="AB295">
        <v>6.54</v>
      </c>
      <c r="AC295">
        <v>1.42</v>
      </c>
      <c r="AD295">
        <v>5</v>
      </c>
      <c r="AE295">
        <v>7</v>
      </c>
      <c r="AF295">
        <v>1.4</v>
      </c>
      <c r="AG295">
        <v>5</v>
      </c>
      <c r="AH295">
        <v>7</v>
      </c>
      <c r="AI295">
        <v>1.49</v>
      </c>
      <c r="AJ295">
        <v>5.5</v>
      </c>
      <c r="AK295">
        <v>7</v>
      </c>
      <c r="AL295">
        <v>1.44</v>
      </c>
      <c r="AM295">
        <v>5.18</v>
      </c>
      <c r="AN295">
        <v>6.51</v>
      </c>
      <c r="AO295">
        <v>1</v>
      </c>
      <c r="AP295">
        <v>0.67396061269146601</v>
      </c>
      <c r="AQ295">
        <v>0.18258205689277801</v>
      </c>
      <c r="AR295">
        <v>0.14345733041575401</v>
      </c>
      <c r="AS295">
        <v>0.999999999999999</v>
      </c>
      <c r="AT295">
        <v>4.2013129102842399E-3</v>
      </c>
      <c r="AU295">
        <v>1.9119146975171299</v>
      </c>
      <c r="AV295">
        <f t="shared" si="25"/>
        <v>8239002746.1298485</v>
      </c>
      <c r="AW295">
        <f t="shared" si="26"/>
        <v>5552763338.7483444</v>
      </c>
      <c r="AX295">
        <f t="shared" si="27"/>
        <v>1504294068.1336422</v>
      </c>
      <c r="AY295">
        <f t="shared" si="28"/>
        <v>1181945339.2478619</v>
      </c>
      <c r="AZ295" cm="1">
        <f t="array" ref="AZ295">_xlfn.IFS(E295="H",AW295*AI295-AV295,E295="D",AX295*AJ295-AV295,E295="A",AY295*AK295-AV295)</f>
        <v>34614628.605184555</v>
      </c>
      <c r="BA295">
        <f t="shared" si="29"/>
        <v>608770377.25275457</v>
      </c>
    </row>
    <row r="296" spans="1:53" x14ac:dyDescent="0.2">
      <c r="A296">
        <v>38</v>
      </c>
      <c r="B296" t="s">
        <v>67</v>
      </c>
      <c r="C296" s="1">
        <v>44339</v>
      </c>
      <c r="D296" t="s">
        <v>322</v>
      </c>
      <c r="E296" t="s">
        <v>74</v>
      </c>
      <c r="F296" t="s">
        <v>405</v>
      </c>
      <c r="G296" t="s">
        <v>248</v>
      </c>
      <c r="H296">
        <v>2000</v>
      </c>
      <c r="I296" t="s">
        <v>420</v>
      </c>
      <c r="J296" t="s">
        <v>180</v>
      </c>
      <c r="K296" t="s">
        <v>54</v>
      </c>
      <c r="L296">
        <v>2021</v>
      </c>
      <c r="M296">
        <v>0</v>
      </c>
      <c r="N296">
        <v>0.25</v>
      </c>
      <c r="O296">
        <v>1.75</v>
      </c>
      <c r="P296">
        <v>1.75</v>
      </c>
      <c r="Q296">
        <v>2.0499999999999998</v>
      </c>
      <c r="R296">
        <v>3.8</v>
      </c>
      <c r="S296">
        <v>3.3</v>
      </c>
      <c r="T296">
        <v>2.1</v>
      </c>
      <c r="U296">
        <v>3.8</v>
      </c>
      <c r="V296">
        <v>3.2</v>
      </c>
      <c r="W296">
        <v>2.0499999999999998</v>
      </c>
      <c r="X296">
        <v>3.8</v>
      </c>
      <c r="Y296">
        <v>3.3</v>
      </c>
      <c r="Z296">
        <v>2.08</v>
      </c>
      <c r="AA296">
        <v>3.94</v>
      </c>
      <c r="AB296">
        <v>3.41</v>
      </c>
      <c r="AC296">
        <v>2.15</v>
      </c>
      <c r="AD296">
        <v>3.6</v>
      </c>
      <c r="AE296">
        <v>3.25</v>
      </c>
      <c r="AF296">
        <v>2.1</v>
      </c>
      <c r="AG296">
        <v>3.7</v>
      </c>
      <c r="AH296">
        <v>3.3</v>
      </c>
      <c r="AI296">
        <v>2.21</v>
      </c>
      <c r="AJ296">
        <v>3.97</v>
      </c>
      <c r="AK296">
        <v>3.45</v>
      </c>
      <c r="AL296">
        <v>2.09</v>
      </c>
      <c r="AM296">
        <v>3.81</v>
      </c>
      <c r="AN296">
        <v>3.32</v>
      </c>
      <c r="AO296">
        <v>1</v>
      </c>
      <c r="AP296">
        <v>0.45511335883062398</v>
      </c>
      <c r="AQ296">
        <v>0.25335025768656899</v>
      </c>
      <c r="AR296">
        <v>0.29153638348280497</v>
      </c>
      <c r="AS296">
        <v>1</v>
      </c>
      <c r="AT296">
        <v>5.8005230156805698E-3</v>
      </c>
      <c r="AU296">
        <v>1.9177152205328101</v>
      </c>
      <c r="AV296">
        <f t="shared" si="25"/>
        <v>8847773123.3826027</v>
      </c>
      <c r="AW296">
        <f t="shared" si="26"/>
        <v>4026739744.3539834</v>
      </c>
      <c r="AX296">
        <f t="shared" si="27"/>
        <v>2241585600.7612853</v>
      </c>
      <c r="AY296">
        <f t="shared" si="28"/>
        <v>2579447778.2673345</v>
      </c>
      <c r="AZ296" cm="1">
        <f t="array" ref="AZ296">_xlfn.IFS(E296="H",AW296*AI296-AV296,E296="D",AX296*AJ296-AV296,E296="A",AY296*AK296-AV296)</f>
        <v>51321711.639701843</v>
      </c>
      <c r="BA296">
        <f t="shared" si="29"/>
        <v>660092088.89245641</v>
      </c>
    </row>
    <row r="297" spans="1:53" x14ac:dyDescent="0.2">
      <c r="A297">
        <v>1</v>
      </c>
      <c r="B297" t="s">
        <v>67</v>
      </c>
      <c r="C297" s="1">
        <v>44416</v>
      </c>
      <c r="D297" t="s">
        <v>329</v>
      </c>
      <c r="E297" t="s">
        <v>57</v>
      </c>
      <c r="F297" t="s">
        <v>69</v>
      </c>
      <c r="G297" t="s">
        <v>337</v>
      </c>
      <c r="H297">
        <v>22567</v>
      </c>
      <c r="I297" t="s">
        <v>71</v>
      </c>
      <c r="J297" t="s">
        <v>345</v>
      </c>
      <c r="K297" t="s">
        <v>54</v>
      </c>
      <c r="L297">
        <v>2021</v>
      </c>
      <c r="M297">
        <v>2.5</v>
      </c>
      <c r="N297">
        <v>2.25</v>
      </c>
      <c r="O297">
        <v>1</v>
      </c>
      <c r="P297">
        <v>1</v>
      </c>
      <c r="Q297">
        <v>2</v>
      </c>
      <c r="R297">
        <v>3.4</v>
      </c>
      <c r="S297">
        <v>3.75</v>
      </c>
      <c r="T297">
        <v>2</v>
      </c>
      <c r="U297">
        <v>3.5</v>
      </c>
      <c r="V297">
        <v>3.8</v>
      </c>
      <c r="W297">
        <v>2.0499999999999998</v>
      </c>
      <c r="X297">
        <v>3.5</v>
      </c>
      <c r="Y297">
        <v>3.65</v>
      </c>
      <c r="Z297">
        <v>2.06</v>
      </c>
      <c r="AA297">
        <v>3.61</v>
      </c>
      <c r="AB297">
        <v>3.85</v>
      </c>
      <c r="AC297">
        <v>2</v>
      </c>
      <c r="AD297">
        <v>3.4</v>
      </c>
      <c r="AE297">
        <v>3.7</v>
      </c>
      <c r="AF297">
        <v>2</v>
      </c>
      <c r="AG297">
        <v>3.3</v>
      </c>
      <c r="AH297">
        <v>3.7</v>
      </c>
      <c r="AI297">
        <v>2.08</v>
      </c>
      <c r="AJ297">
        <v>3.69</v>
      </c>
      <c r="AK297">
        <v>4.13</v>
      </c>
      <c r="AL297">
        <v>2.02</v>
      </c>
      <c r="AM297">
        <v>3.5</v>
      </c>
      <c r="AN297">
        <v>3.71</v>
      </c>
      <c r="AO297">
        <v>1</v>
      </c>
      <c r="AP297">
        <v>0.48371861242394099</v>
      </c>
      <c r="AQ297">
        <v>0.27266523410346799</v>
      </c>
      <c r="AR297">
        <v>0.24361615347259</v>
      </c>
      <c r="AS297">
        <v>1</v>
      </c>
      <c r="AT297">
        <v>6.1347138417981997E-3</v>
      </c>
      <c r="AU297">
        <v>1.92384993437461</v>
      </c>
      <c r="AV297">
        <f t="shared" si="25"/>
        <v>9507865212.2750587</v>
      </c>
      <c r="AW297">
        <f t="shared" si="26"/>
        <v>4599131367.5955544</v>
      </c>
      <c r="AX297">
        <f t="shared" si="27"/>
        <v>2592464293.9292011</v>
      </c>
      <c r="AY297">
        <f t="shared" si="28"/>
        <v>2316269550.7503037</v>
      </c>
      <c r="AZ297" cm="1">
        <f t="array" ref="AZ297">_xlfn.IFS(E297="H",AW297*AI297-AV297,E297="D",AX297*AJ297-AV297,E297="A",AY297*AK297-AV297)</f>
        <v>58328032.323692322</v>
      </c>
      <c r="BA297">
        <f t="shared" si="29"/>
        <v>718420121.21614873</v>
      </c>
    </row>
    <row r="298" spans="1:53" x14ac:dyDescent="0.2">
      <c r="A298">
        <v>1</v>
      </c>
      <c r="B298" t="s">
        <v>55</v>
      </c>
      <c r="C298" s="1">
        <v>44422</v>
      </c>
      <c r="D298" t="s">
        <v>73</v>
      </c>
      <c r="E298" t="s">
        <v>57</v>
      </c>
      <c r="F298" t="s">
        <v>255</v>
      </c>
      <c r="G298" t="s">
        <v>192</v>
      </c>
      <c r="H298">
        <v>11000</v>
      </c>
      <c r="I298" t="s">
        <v>343</v>
      </c>
      <c r="J298" t="s">
        <v>421</v>
      </c>
      <c r="K298" t="s">
        <v>54</v>
      </c>
      <c r="L298">
        <v>2021</v>
      </c>
      <c r="M298">
        <v>2.5</v>
      </c>
      <c r="N298">
        <v>2</v>
      </c>
      <c r="O298">
        <v>0.5</v>
      </c>
      <c r="P298">
        <v>0.25</v>
      </c>
      <c r="Q298">
        <v>2.75</v>
      </c>
      <c r="R298">
        <v>3.4</v>
      </c>
      <c r="S298">
        <v>2.5499999999999998</v>
      </c>
      <c r="T298">
        <v>2.75</v>
      </c>
      <c r="U298">
        <v>3.4</v>
      </c>
      <c r="V298">
        <v>2.5499999999999998</v>
      </c>
      <c r="W298">
        <v>2.75</v>
      </c>
      <c r="X298">
        <v>3.35</v>
      </c>
      <c r="Y298">
        <v>2.5499999999999998</v>
      </c>
      <c r="Z298">
        <v>2.83</v>
      </c>
      <c r="AA298">
        <v>3.44</v>
      </c>
      <c r="AB298">
        <v>2.65</v>
      </c>
      <c r="AC298">
        <v>2.8</v>
      </c>
      <c r="AD298">
        <v>3.2</v>
      </c>
      <c r="AE298">
        <v>2.5499999999999998</v>
      </c>
      <c r="AF298">
        <v>2.7</v>
      </c>
      <c r="AG298">
        <v>3.4</v>
      </c>
      <c r="AH298">
        <v>2.5499999999999998</v>
      </c>
      <c r="AI298">
        <v>2.89</v>
      </c>
      <c r="AJ298">
        <v>3.59</v>
      </c>
      <c r="AK298">
        <v>2.7</v>
      </c>
      <c r="AL298">
        <v>2.79</v>
      </c>
      <c r="AM298">
        <v>3.36</v>
      </c>
      <c r="AN298">
        <v>2.57</v>
      </c>
      <c r="AO298">
        <v>1</v>
      </c>
      <c r="AP298">
        <v>0.34777959965699201</v>
      </c>
      <c r="AQ298">
        <v>0.27996742145089298</v>
      </c>
      <c r="AR298">
        <v>0.37225297889211401</v>
      </c>
      <c r="AS298">
        <v>1</v>
      </c>
      <c r="AT298">
        <v>5.0830430087078701E-3</v>
      </c>
      <c r="AU298">
        <v>1.9289329773833099</v>
      </c>
      <c r="AV298">
        <f t="shared" si="25"/>
        <v>10226285333.491207</v>
      </c>
      <c r="AW298">
        <f t="shared" si="26"/>
        <v>3556493419.2597442</v>
      </c>
      <c r="AX298">
        <f t="shared" si="27"/>
        <v>2863026735.838625</v>
      </c>
      <c r="AY298">
        <f t="shared" si="28"/>
        <v>3806765178.3928375</v>
      </c>
      <c r="AZ298" cm="1">
        <f t="array" ref="AZ298">_xlfn.IFS(E298="H",AW298*AI298-AV298,E298="D",AX298*AJ298-AV298,E298="A",AY298*AK298-AV298)</f>
        <v>51980648.169456482</v>
      </c>
      <c r="BA298">
        <f t="shared" si="29"/>
        <v>770400769.38560522</v>
      </c>
    </row>
    <row r="299" spans="1:53" x14ac:dyDescent="0.2">
      <c r="A299">
        <v>1</v>
      </c>
      <c r="B299" t="s">
        <v>67</v>
      </c>
      <c r="C299" s="1">
        <v>44423</v>
      </c>
      <c r="D299" t="s">
        <v>125</v>
      </c>
      <c r="E299" t="s">
        <v>74</v>
      </c>
      <c r="F299" t="s">
        <v>248</v>
      </c>
      <c r="G299" t="s">
        <v>126</v>
      </c>
      <c r="H299">
        <v>50673</v>
      </c>
      <c r="I299" t="s">
        <v>250</v>
      </c>
      <c r="J299" t="s">
        <v>233</v>
      </c>
      <c r="K299" t="s">
        <v>54</v>
      </c>
      <c r="L299">
        <v>2021</v>
      </c>
      <c r="M299">
        <v>1.5</v>
      </c>
      <c r="N299">
        <v>1.75</v>
      </c>
      <c r="O299">
        <v>1.75</v>
      </c>
      <c r="P299">
        <v>2</v>
      </c>
      <c r="Q299">
        <v>3.2</v>
      </c>
      <c r="R299">
        <v>3.5</v>
      </c>
      <c r="S299">
        <v>2.2000000000000002</v>
      </c>
      <c r="T299">
        <v>3.3</v>
      </c>
      <c r="U299">
        <v>3.4</v>
      </c>
      <c r="V299">
        <v>2.2000000000000002</v>
      </c>
      <c r="W299">
        <v>3.15</v>
      </c>
      <c r="X299">
        <v>3.45</v>
      </c>
      <c r="Y299">
        <v>2.25</v>
      </c>
      <c r="Z299">
        <v>3.21</v>
      </c>
      <c r="AA299">
        <v>3.59</v>
      </c>
      <c r="AB299">
        <v>2.3199999999999998</v>
      </c>
      <c r="AC299">
        <v>3.1</v>
      </c>
      <c r="AD299">
        <v>3.4</v>
      </c>
      <c r="AE299">
        <v>2.25</v>
      </c>
      <c r="AF299">
        <v>3.25</v>
      </c>
      <c r="AG299">
        <v>3.4</v>
      </c>
      <c r="AH299">
        <v>2.25</v>
      </c>
      <c r="AI299">
        <v>3.36</v>
      </c>
      <c r="AJ299">
        <v>3.61</v>
      </c>
      <c r="AK299">
        <v>2.36</v>
      </c>
      <c r="AL299">
        <v>3.2</v>
      </c>
      <c r="AM299">
        <v>3.51</v>
      </c>
      <c r="AN299">
        <v>2.2599999999999998</v>
      </c>
      <c r="AO299">
        <v>1</v>
      </c>
      <c r="AP299">
        <v>0.29810908785533302</v>
      </c>
      <c r="AQ299">
        <v>0.27746441418114098</v>
      </c>
      <c r="AR299">
        <v>0.424426497963525</v>
      </c>
      <c r="AS299">
        <v>1</v>
      </c>
      <c r="AT299">
        <v>1.6465351939198799E-3</v>
      </c>
      <c r="AU299">
        <v>1.93057951257723</v>
      </c>
      <c r="AV299">
        <f t="shared" si="25"/>
        <v>10996686102.876812</v>
      </c>
      <c r="AW299">
        <f t="shared" si="26"/>
        <v>3278212063.5600266</v>
      </c>
      <c r="AX299">
        <f t="shared" si="27"/>
        <v>3051189067.4686122</v>
      </c>
      <c r="AY299">
        <f t="shared" si="28"/>
        <v>4667284971.8481731</v>
      </c>
      <c r="AZ299" cm="1">
        <f t="array" ref="AZ299">_xlfn.IFS(E299="H",AW299*AI299-AV299,E299="D",AX299*AJ299-AV299,E299="A",AY299*AK299-AV299)</f>
        <v>18106430.684875488</v>
      </c>
      <c r="BA299">
        <f t="shared" si="29"/>
        <v>788507200.0704807</v>
      </c>
    </row>
    <row r="300" spans="1:53" x14ac:dyDescent="0.2">
      <c r="A300">
        <v>2</v>
      </c>
      <c r="B300" t="s">
        <v>55</v>
      </c>
      <c r="C300" s="1">
        <v>44429</v>
      </c>
      <c r="D300" t="s">
        <v>73</v>
      </c>
      <c r="E300" t="s">
        <v>74</v>
      </c>
      <c r="F300" t="s">
        <v>117</v>
      </c>
      <c r="G300" t="s">
        <v>261</v>
      </c>
      <c r="H300">
        <v>18241</v>
      </c>
      <c r="I300" t="s">
        <v>119</v>
      </c>
      <c r="J300" t="s">
        <v>422</v>
      </c>
      <c r="K300" t="s">
        <v>54</v>
      </c>
      <c r="L300">
        <v>2021</v>
      </c>
      <c r="M300">
        <v>1.5</v>
      </c>
      <c r="N300">
        <v>1.25</v>
      </c>
      <c r="O300">
        <v>1.75</v>
      </c>
      <c r="P300">
        <v>2.5</v>
      </c>
      <c r="Q300">
        <v>3</v>
      </c>
      <c r="R300">
        <v>3.4</v>
      </c>
      <c r="S300">
        <v>2.37</v>
      </c>
      <c r="T300">
        <v>2.95</v>
      </c>
      <c r="U300">
        <v>3.5</v>
      </c>
      <c r="V300">
        <v>2.35</v>
      </c>
      <c r="W300">
        <v>3.05</v>
      </c>
      <c r="X300">
        <v>3.45</v>
      </c>
      <c r="Y300">
        <v>2.2999999999999998</v>
      </c>
      <c r="Z300">
        <v>3.21</v>
      </c>
      <c r="AA300">
        <v>3.51</v>
      </c>
      <c r="AB300">
        <v>2.35</v>
      </c>
      <c r="AC300">
        <v>3.1</v>
      </c>
      <c r="AD300">
        <v>3.3</v>
      </c>
      <c r="AE300">
        <v>2.2999999999999998</v>
      </c>
      <c r="AF300">
        <v>3</v>
      </c>
      <c r="AG300">
        <v>3.5</v>
      </c>
      <c r="AH300">
        <v>2.2999999999999998</v>
      </c>
      <c r="AI300">
        <v>3.25</v>
      </c>
      <c r="AJ300">
        <v>3.6</v>
      </c>
      <c r="AK300">
        <v>2.44</v>
      </c>
      <c r="AL300">
        <v>3.06</v>
      </c>
      <c r="AM300">
        <v>3.44</v>
      </c>
      <c r="AN300">
        <v>2.33</v>
      </c>
      <c r="AO300">
        <v>1</v>
      </c>
      <c r="AP300">
        <v>0.30914338002393099</v>
      </c>
      <c r="AQ300">
        <v>0.27908777363271597</v>
      </c>
      <c r="AR300">
        <v>0.41176884634335098</v>
      </c>
      <c r="AS300">
        <v>1</v>
      </c>
      <c r="AT300">
        <v>4.7159850777784796E-3</v>
      </c>
      <c r="AU300">
        <v>1.9352954976550101</v>
      </c>
      <c r="AV300">
        <f t="shared" si="25"/>
        <v>11785193302.947292</v>
      </c>
      <c r="AW300">
        <f t="shared" si="26"/>
        <v>3643314491.9085317</v>
      </c>
      <c r="AX300">
        <f t="shared" si="27"/>
        <v>3289103360.7507577</v>
      </c>
      <c r="AY300">
        <f t="shared" si="28"/>
        <v>4852775450.288003</v>
      </c>
      <c r="AZ300" cm="1">
        <f t="array" ref="AZ300">_xlfn.IFS(E300="H",AW300*AI300-AV300,E300="D",AX300*AJ300-AV300,E300="A",AY300*AK300-AV300)</f>
        <v>55578795.755434036</v>
      </c>
      <c r="BA300">
        <f t="shared" si="29"/>
        <v>844085995.82591474</v>
      </c>
    </row>
    <row r="301" spans="1:53" x14ac:dyDescent="0.2">
      <c r="A301">
        <v>2</v>
      </c>
      <c r="B301" t="s">
        <v>55</v>
      </c>
      <c r="C301" s="1">
        <v>44429</v>
      </c>
      <c r="D301" t="s">
        <v>90</v>
      </c>
      <c r="E301" t="s">
        <v>49</v>
      </c>
      <c r="F301" t="s">
        <v>213</v>
      </c>
      <c r="G301" t="s">
        <v>248</v>
      </c>
      <c r="H301">
        <v>41964</v>
      </c>
      <c r="I301" t="s">
        <v>214</v>
      </c>
      <c r="J301" t="s">
        <v>232</v>
      </c>
      <c r="K301" t="s">
        <v>54</v>
      </c>
      <c r="L301">
        <v>2021</v>
      </c>
      <c r="M301">
        <v>1.25</v>
      </c>
      <c r="N301">
        <v>1.25</v>
      </c>
      <c r="O301">
        <v>2.5</v>
      </c>
      <c r="P301">
        <v>2.25</v>
      </c>
      <c r="Q301">
        <v>1.8</v>
      </c>
      <c r="R301">
        <v>3.75</v>
      </c>
      <c r="S301">
        <v>4.33</v>
      </c>
      <c r="T301">
        <v>1.8</v>
      </c>
      <c r="U301">
        <v>3.9</v>
      </c>
      <c r="V301">
        <v>4.25</v>
      </c>
      <c r="W301">
        <v>1.83</v>
      </c>
      <c r="X301">
        <v>3.8</v>
      </c>
      <c r="Y301">
        <v>4.0999999999999996</v>
      </c>
      <c r="Z301">
        <v>1.83</v>
      </c>
      <c r="AA301">
        <v>3.99</v>
      </c>
      <c r="AB301">
        <v>4.4000000000000004</v>
      </c>
      <c r="AC301">
        <v>1.8</v>
      </c>
      <c r="AD301">
        <v>3.75</v>
      </c>
      <c r="AE301">
        <v>4.2</v>
      </c>
      <c r="AF301">
        <v>1.8</v>
      </c>
      <c r="AG301">
        <v>3.75</v>
      </c>
      <c r="AH301">
        <v>4.5</v>
      </c>
      <c r="AI301">
        <v>1.87</v>
      </c>
      <c r="AJ301">
        <v>4.2</v>
      </c>
      <c r="AK301">
        <v>4.5</v>
      </c>
      <c r="AL301">
        <v>1.82</v>
      </c>
      <c r="AM301">
        <v>3.92</v>
      </c>
      <c r="AN301">
        <v>4.25</v>
      </c>
      <c r="AO301">
        <v>1</v>
      </c>
      <c r="AP301">
        <v>0.53740510108334005</v>
      </c>
      <c r="AQ301">
        <v>0.23927322357758199</v>
      </c>
      <c r="AR301">
        <v>0.22332167533907701</v>
      </c>
      <c r="AS301">
        <v>1</v>
      </c>
      <c r="AT301">
        <v>4.9475390258468801E-3</v>
      </c>
      <c r="AU301">
        <v>1.9402430366808601</v>
      </c>
      <c r="AV301">
        <f t="shared" si="25"/>
        <v>12629279298.773207</v>
      </c>
      <c r="AW301">
        <f t="shared" si="26"/>
        <v>6787039118.166954</v>
      </c>
      <c r="AX301">
        <f t="shared" si="27"/>
        <v>3021848369.2790961</v>
      </c>
      <c r="AY301">
        <f t="shared" si="28"/>
        <v>2820391811.3271565</v>
      </c>
      <c r="AZ301" cm="1">
        <f t="array" ref="AZ301">_xlfn.IFS(E301="H",AW301*AI301-AV301,E301="D",AX301*AJ301-AV301,E301="A",AY301*AK301-AV301)</f>
        <v>62483852.198997498</v>
      </c>
      <c r="BA301">
        <f t="shared" si="29"/>
        <v>906569848.02491224</v>
      </c>
    </row>
    <row r="302" spans="1:53" x14ac:dyDescent="0.2">
      <c r="A302">
        <v>2</v>
      </c>
      <c r="B302" t="s">
        <v>47</v>
      </c>
      <c r="C302" s="1">
        <v>44435</v>
      </c>
      <c r="D302" t="s">
        <v>48</v>
      </c>
      <c r="E302" t="s">
        <v>74</v>
      </c>
      <c r="F302" t="s">
        <v>142</v>
      </c>
      <c r="G302" t="s">
        <v>318</v>
      </c>
      <c r="H302">
        <v>11214</v>
      </c>
      <c r="I302" t="s">
        <v>320</v>
      </c>
      <c r="J302" t="s">
        <v>186</v>
      </c>
      <c r="K302" t="s">
        <v>54</v>
      </c>
      <c r="L302">
        <v>2021</v>
      </c>
      <c r="M302">
        <v>0.75</v>
      </c>
      <c r="N302">
        <v>1.5</v>
      </c>
      <c r="O302">
        <v>1.25</v>
      </c>
      <c r="P302">
        <v>1.5</v>
      </c>
      <c r="Q302">
        <v>5.5</v>
      </c>
      <c r="R302">
        <v>4.33</v>
      </c>
      <c r="S302">
        <v>1.55</v>
      </c>
      <c r="T302">
        <v>5.5</v>
      </c>
      <c r="U302">
        <v>4.33</v>
      </c>
      <c r="V302">
        <v>1.57</v>
      </c>
      <c r="W302">
        <v>5.25</v>
      </c>
      <c r="X302">
        <v>4.0999999999999996</v>
      </c>
      <c r="Y302">
        <v>1.63</v>
      </c>
      <c r="Z302">
        <v>5.81</v>
      </c>
      <c r="AA302">
        <v>4.1399999999999997</v>
      </c>
      <c r="AB302">
        <v>1.64</v>
      </c>
      <c r="AC302">
        <v>5.8</v>
      </c>
      <c r="AD302">
        <v>4.2</v>
      </c>
      <c r="AE302">
        <v>1.57</v>
      </c>
      <c r="AF302">
        <v>6</v>
      </c>
      <c r="AG302">
        <v>4.0999999999999996</v>
      </c>
      <c r="AH302">
        <v>1.55</v>
      </c>
      <c r="AI302">
        <v>6</v>
      </c>
      <c r="AJ302">
        <v>4.3499999999999996</v>
      </c>
      <c r="AK302">
        <v>1.69</v>
      </c>
      <c r="AL302">
        <v>5.58</v>
      </c>
      <c r="AM302">
        <v>4.17</v>
      </c>
      <c r="AN302">
        <v>1.61</v>
      </c>
      <c r="AO302">
        <v>1</v>
      </c>
      <c r="AP302">
        <v>0.16864526341144401</v>
      </c>
      <c r="AQ302">
        <v>0.232614156429579</v>
      </c>
      <c r="AR302">
        <v>0.59874058015897502</v>
      </c>
      <c r="AS302">
        <v>1</v>
      </c>
      <c r="AT302">
        <v>1.1871580468669299E-2</v>
      </c>
      <c r="AU302">
        <v>1.9521146171495301</v>
      </c>
      <c r="AV302">
        <f t="shared" si="25"/>
        <v>13535849146.798119</v>
      </c>
      <c r="AW302">
        <f t="shared" si="26"/>
        <v>2282756844.8593507</v>
      </c>
      <c r="AX302">
        <f t="shared" si="27"/>
        <v>3148630130.8404832</v>
      </c>
      <c r="AY302">
        <f t="shared" si="28"/>
        <v>8104462171.0982847</v>
      </c>
      <c r="AZ302" cm="1">
        <f t="array" ref="AZ302">_xlfn.IFS(E302="H",AW302*AI302-AV302,E302="D",AX302*AJ302-AV302,E302="A",AY302*AK302-AV302)</f>
        <v>160691922.35798264</v>
      </c>
      <c r="BA302">
        <f t="shared" si="29"/>
        <v>1067261770.3828949</v>
      </c>
    </row>
    <row r="303" spans="1:53" x14ac:dyDescent="0.2">
      <c r="A303">
        <v>2</v>
      </c>
      <c r="B303" t="s">
        <v>55</v>
      </c>
      <c r="C303" s="1">
        <v>44436</v>
      </c>
      <c r="D303" t="s">
        <v>190</v>
      </c>
      <c r="E303" t="s">
        <v>49</v>
      </c>
      <c r="F303" t="s">
        <v>184</v>
      </c>
      <c r="G303" t="s">
        <v>371</v>
      </c>
      <c r="H303">
        <v>20000</v>
      </c>
      <c r="I303" t="s">
        <v>110</v>
      </c>
      <c r="J303" t="s">
        <v>423</v>
      </c>
      <c r="K303" t="s">
        <v>54</v>
      </c>
      <c r="L303">
        <v>2021</v>
      </c>
      <c r="M303">
        <v>2.5</v>
      </c>
      <c r="N303">
        <v>2</v>
      </c>
      <c r="O303">
        <v>0.75</v>
      </c>
      <c r="P303">
        <v>1.25</v>
      </c>
      <c r="Q303">
        <v>1.33</v>
      </c>
      <c r="R303">
        <v>4.75</v>
      </c>
      <c r="S303">
        <v>9.5</v>
      </c>
      <c r="T303">
        <v>1.36</v>
      </c>
      <c r="U303">
        <v>5</v>
      </c>
      <c r="V303">
        <v>8.75</v>
      </c>
      <c r="W303">
        <v>1.35</v>
      </c>
      <c r="X303">
        <v>5.5</v>
      </c>
      <c r="Y303">
        <v>8</v>
      </c>
      <c r="Z303">
        <v>1.36</v>
      </c>
      <c r="AA303">
        <v>5.48</v>
      </c>
      <c r="AB303">
        <v>9.14</v>
      </c>
      <c r="AC303">
        <v>1.33</v>
      </c>
      <c r="AD303">
        <v>5.25</v>
      </c>
      <c r="AE303">
        <v>9.5</v>
      </c>
      <c r="AF303">
        <v>1.3</v>
      </c>
      <c r="AG303">
        <v>5.25</v>
      </c>
      <c r="AH303">
        <v>10</v>
      </c>
      <c r="AI303">
        <v>1.41</v>
      </c>
      <c r="AJ303">
        <v>5.65</v>
      </c>
      <c r="AK303">
        <v>10</v>
      </c>
      <c r="AL303">
        <v>1.36</v>
      </c>
      <c r="AM303">
        <v>5.23</v>
      </c>
      <c r="AN303">
        <v>8.74</v>
      </c>
      <c r="AO303">
        <v>1</v>
      </c>
      <c r="AP303">
        <v>0.71913601853207099</v>
      </c>
      <c r="AQ303">
        <v>0.17946580285490599</v>
      </c>
      <c r="AR303">
        <v>0.101398178613022</v>
      </c>
      <c r="AS303">
        <v>1</v>
      </c>
      <c r="AT303">
        <v>1.39817861302209E-2</v>
      </c>
      <c r="AU303">
        <v>1.9660964032797501</v>
      </c>
      <c r="AV303">
        <f t="shared" si="25"/>
        <v>14603110917.181013</v>
      </c>
      <c r="AW303">
        <f t="shared" si="26"/>
        <v>10501623043.163782</v>
      </c>
      <c r="AX303">
        <f t="shared" si="27"/>
        <v>2620759024.931138</v>
      </c>
      <c r="AY303">
        <f t="shared" si="28"/>
        <v>1480728849.0860932</v>
      </c>
      <c r="AZ303" cm="1">
        <f t="array" ref="AZ303">_xlfn.IFS(E303="H",AW303*AI303-AV303,E303="D",AX303*AJ303-AV303,E303="A",AY303*AK303-AV303)</f>
        <v>204177573.67991829</v>
      </c>
      <c r="BA303">
        <f t="shared" si="29"/>
        <v>1271439344.0628133</v>
      </c>
    </row>
    <row r="304" spans="1:53" x14ac:dyDescent="0.2">
      <c r="A304">
        <v>4</v>
      </c>
      <c r="B304" t="s">
        <v>55</v>
      </c>
      <c r="C304" s="1">
        <v>44436</v>
      </c>
      <c r="D304" t="s">
        <v>82</v>
      </c>
      <c r="E304" t="s">
        <v>49</v>
      </c>
      <c r="F304" t="s">
        <v>104</v>
      </c>
      <c r="G304" t="s">
        <v>63</v>
      </c>
      <c r="H304" t="s">
        <v>256</v>
      </c>
      <c r="I304" t="s">
        <v>245</v>
      </c>
      <c r="J304" t="s">
        <v>408</v>
      </c>
      <c r="K304" t="s">
        <v>54</v>
      </c>
      <c r="L304">
        <v>2021</v>
      </c>
      <c r="M304">
        <v>1.75</v>
      </c>
      <c r="N304">
        <v>1.5</v>
      </c>
      <c r="O304">
        <v>1</v>
      </c>
      <c r="P304">
        <v>1.25</v>
      </c>
      <c r="Q304">
        <v>1.6</v>
      </c>
      <c r="R304">
        <v>4.2</v>
      </c>
      <c r="S304">
        <v>5.25</v>
      </c>
      <c r="T304">
        <v>1.65</v>
      </c>
      <c r="U304">
        <v>4.0999999999999996</v>
      </c>
      <c r="V304">
        <v>5</v>
      </c>
      <c r="W304">
        <v>1.65</v>
      </c>
      <c r="X304">
        <v>3.95</v>
      </c>
      <c r="Y304">
        <v>5.25</v>
      </c>
      <c r="Z304">
        <v>1.68</v>
      </c>
      <c r="AA304">
        <v>4</v>
      </c>
      <c r="AB304">
        <v>5.54</v>
      </c>
      <c r="AC304">
        <v>1.6</v>
      </c>
      <c r="AD304">
        <v>3.9</v>
      </c>
      <c r="AE304">
        <v>5.25</v>
      </c>
      <c r="AF304">
        <v>1.62</v>
      </c>
      <c r="AG304">
        <v>3.8</v>
      </c>
      <c r="AH304">
        <v>5.25</v>
      </c>
      <c r="AI304">
        <v>1.7</v>
      </c>
      <c r="AJ304">
        <v>4.25</v>
      </c>
      <c r="AK304">
        <v>5.7</v>
      </c>
      <c r="AL304">
        <v>1.65</v>
      </c>
      <c r="AM304">
        <v>3.98</v>
      </c>
      <c r="AN304">
        <v>5.26</v>
      </c>
      <c r="AO304">
        <v>1</v>
      </c>
      <c r="AP304">
        <v>0.588842975206611</v>
      </c>
      <c r="AQ304">
        <v>0.23553719008264401</v>
      </c>
      <c r="AR304">
        <v>0.17561983471074299</v>
      </c>
      <c r="AS304">
        <v>1</v>
      </c>
      <c r="AT304">
        <v>1.03305785123963E-3</v>
      </c>
      <c r="AU304">
        <v>1.96712946113099</v>
      </c>
      <c r="AV304">
        <f t="shared" si="25"/>
        <v>15874550261.243826</v>
      </c>
      <c r="AW304">
        <f t="shared" si="26"/>
        <v>9347617405.897707</v>
      </c>
      <c r="AX304">
        <f t="shared" si="27"/>
        <v>3739046962.3590832</v>
      </c>
      <c r="AY304">
        <f t="shared" si="28"/>
        <v>2787885892.9870348</v>
      </c>
      <c r="AZ304" cm="1">
        <f t="array" ref="AZ304">_xlfn.IFS(E304="H",AW304*AI304-AV304,E304="D",AX304*AJ304-AV304,E304="A",AY304*AK304-AV304)</f>
        <v>16399328.782276154</v>
      </c>
      <c r="BA304">
        <f t="shared" si="29"/>
        <v>1287838672.8450894</v>
      </c>
    </row>
    <row r="305" spans="1:53" x14ac:dyDescent="0.2">
      <c r="A305">
        <v>5</v>
      </c>
      <c r="B305" t="s">
        <v>47</v>
      </c>
      <c r="C305" s="1">
        <v>44449</v>
      </c>
      <c r="D305" t="s">
        <v>68</v>
      </c>
      <c r="E305" t="s">
        <v>49</v>
      </c>
      <c r="F305" t="s">
        <v>340</v>
      </c>
      <c r="G305" t="s">
        <v>326</v>
      </c>
      <c r="H305">
        <v>10271</v>
      </c>
      <c r="I305" t="s">
        <v>341</v>
      </c>
      <c r="J305" t="s">
        <v>328</v>
      </c>
      <c r="K305" t="s">
        <v>54</v>
      </c>
      <c r="L305">
        <v>2021</v>
      </c>
      <c r="M305">
        <v>3</v>
      </c>
      <c r="N305">
        <v>2.25</v>
      </c>
      <c r="O305">
        <v>2</v>
      </c>
      <c r="P305">
        <v>2.25</v>
      </c>
      <c r="Q305">
        <v>3.4</v>
      </c>
      <c r="R305">
        <v>3.4</v>
      </c>
      <c r="S305">
        <v>2.15</v>
      </c>
      <c r="T305">
        <v>3.3</v>
      </c>
      <c r="U305">
        <v>3.2</v>
      </c>
      <c r="V305">
        <v>2.2000000000000002</v>
      </c>
      <c r="W305">
        <v>3.35</v>
      </c>
      <c r="X305">
        <v>3.25</v>
      </c>
      <c r="Y305">
        <v>2.25</v>
      </c>
      <c r="Z305">
        <v>3.52</v>
      </c>
      <c r="AA305">
        <v>3.3</v>
      </c>
      <c r="AB305">
        <v>2.2999999999999998</v>
      </c>
      <c r="AC305">
        <v>3.4</v>
      </c>
      <c r="AD305">
        <v>3.1</v>
      </c>
      <c r="AE305">
        <v>2.2000000000000002</v>
      </c>
      <c r="AF305">
        <v>3.4</v>
      </c>
      <c r="AG305">
        <v>3.3</v>
      </c>
      <c r="AH305">
        <v>2.2000000000000002</v>
      </c>
      <c r="AI305">
        <v>3.6</v>
      </c>
      <c r="AJ305">
        <v>3.42</v>
      </c>
      <c r="AK305">
        <v>2.34</v>
      </c>
      <c r="AL305">
        <v>3.4</v>
      </c>
      <c r="AM305">
        <v>3.26</v>
      </c>
      <c r="AN305">
        <v>2.2400000000000002</v>
      </c>
      <c r="AO305">
        <v>1</v>
      </c>
      <c r="AP305">
        <v>0.27846674182638098</v>
      </c>
      <c r="AQ305">
        <v>0.293122886133032</v>
      </c>
      <c r="AR305">
        <v>0.42841037204058602</v>
      </c>
      <c r="AS305">
        <v>1</v>
      </c>
      <c r="AT305">
        <v>2.4802705749720202E-3</v>
      </c>
      <c r="AU305">
        <v>1.96960973170596</v>
      </c>
      <c r="AV305">
        <f t="shared" si="25"/>
        <v>17162388934.088915</v>
      </c>
      <c r="AW305">
        <f t="shared" si="26"/>
        <v>4779154528.4328775</v>
      </c>
      <c r="AX305">
        <f t="shared" si="27"/>
        <v>5030688977.2977648</v>
      </c>
      <c r="AY305">
        <f t="shared" si="28"/>
        <v>7352545428.3582726</v>
      </c>
      <c r="AZ305" cm="1">
        <f t="array" ref="AZ305">_xlfn.IFS(E305="H",AW305*AI305-AV305,E305="D",AX305*AJ305-AV305,E305="A",AY305*AK305-AV305)</f>
        <v>42567368.269445419</v>
      </c>
      <c r="BA305">
        <f t="shared" si="29"/>
        <v>1330406041.1145349</v>
      </c>
    </row>
    <row r="306" spans="1:53" x14ac:dyDescent="0.2">
      <c r="A306">
        <v>3</v>
      </c>
      <c r="B306" t="s">
        <v>55</v>
      </c>
      <c r="C306" s="1">
        <v>44450</v>
      </c>
      <c r="D306" t="s">
        <v>48</v>
      </c>
      <c r="E306" t="s">
        <v>74</v>
      </c>
      <c r="F306" t="s">
        <v>195</v>
      </c>
      <c r="G306" t="s">
        <v>181</v>
      </c>
      <c r="H306">
        <v>9162</v>
      </c>
      <c r="I306" t="s">
        <v>207</v>
      </c>
      <c r="J306" t="s">
        <v>411</v>
      </c>
      <c r="K306" t="s">
        <v>54</v>
      </c>
      <c r="L306">
        <v>2021</v>
      </c>
      <c r="M306">
        <v>1.75</v>
      </c>
      <c r="N306">
        <v>1.75</v>
      </c>
      <c r="O306">
        <v>0.75</v>
      </c>
      <c r="P306">
        <v>1</v>
      </c>
      <c r="Q306">
        <v>1.55</v>
      </c>
      <c r="R306">
        <v>4.33</v>
      </c>
      <c r="S306">
        <v>5.5</v>
      </c>
      <c r="T306">
        <v>1.6</v>
      </c>
      <c r="U306">
        <v>4.0999999999999996</v>
      </c>
      <c r="V306">
        <v>5.5</v>
      </c>
      <c r="W306">
        <v>1.6</v>
      </c>
      <c r="X306">
        <v>4.3</v>
      </c>
      <c r="Y306">
        <v>5.25</v>
      </c>
      <c r="Z306">
        <v>1.6</v>
      </c>
      <c r="AA306">
        <v>4.25</v>
      </c>
      <c r="AB306">
        <v>6.05</v>
      </c>
      <c r="AC306">
        <v>1.57</v>
      </c>
      <c r="AD306">
        <v>4.2</v>
      </c>
      <c r="AE306">
        <v>5.8</v>
      </c>
      <c r="AF306">
        <v>1.55</v>
      </c>
      <c r="AG306">
        <v>4.2</v>
      </c>
      <c r="AH306">
        <v>5.75</v>
      </c>
      <c r="AI306">
        <v>1.63</v>
      </c>
      <c r="AJ306">
        <v>4.51</v>
      </c>
      <c r="AK306">
        <v>6.4</v>
      </c>
      <c r="AL306">
        <v>1.58</v>
      </c>
      <c r="AM306">
        <v>4.21</v>
      </c>
      <c r="AN306">
        <v>5.69</v>
      </c>
      <c r="AO306">
        <v>1</v>
      </c>
      <c r="AP306">
        <v>0.618771075710705</v>
      </c>
      <c r="AQ306">
        <v>0.22363566594422399</v>
      </c>
      <c r="AR306">
        <v>0.15759325834506999</v>
      </c>
      <c r="AS306">
        <v>1</v>
      </c>
      <c r="AT306">
        <v>8.5968534084501693E-3</v>
      </c>
      <c r="AU306">
        <v>1.9782065851144099</v>
      </c>
      <c r="AV306">
        <f t="shared" si="25"/>
        <v>18492794975.203449</v>
      </c>
      <c r="AW306">
        <f t="shared" si="26"/>
        <v>11442806639.704172</v>
      </c>
      <c r="AX306">
        <f t="shared" si="27"/>
        <v>4135648519.4496226</v>
      </c>
      <c r="AY306">
        <f t="shared" si="28"/>
        <v>2914339816.0496559</v>
      </c>
      <c r="AZ306" cm="1">
        <f t="array" ref="AZ306">_xlfn.IFS(E306="H",AW306*AI306-AV306,E306="D",AX306*AJ306-AV306,E306="A",AY306*AK306-AV306)</f>
        <v>158979847.51435089</v>
      </c>
      <c r="BA306">
        <f t="shared" si="29"/>
        <v>1489385888.6288857</v>
      </c>
    </row>
    <row r="307" spans="1:53" x14ac:dyDescent="0.2">
      <c r="A307">
        <v>4</v>
      </c>
      <c r="B307" t="s">
        <v>55</v>
      </c>
      <c r="C307" s="1">
        <v>44450</v>
      </c>
      <c r="D307" t="s">
        <v>409</v>
      </c>
      <c r="E307" t="s">
        <v>49</v>
      </c>
      <c r="F307" t="s">
        <v>281</v>
      </c>
      <c r="G307" t="s">
        <v>227</v>
      </c>
      <c r="H307">
        <v>26000</v>
      </c>
      <c r="I307" t="s">
        <v>282</v>
      </c>
      <c r="J307" t="s">
        <v>332</v>
      </c>
      <c r="K307" t="s">
        <v>54</v>
      </c>
      <c r="L307">
        <v>2021</v>
      </c>
      <c r="M307">
        <v>1</v>
      </c>
      <c r="N307">
        <v>1</v>
      </c>
      <c r="O307">
        <v>1.75</v>
      </c>
      <c r="P307">
        <v>2</v>
      </c>
      <c r="Q307">
        <v>4.2</v>
      </c>
      <c r="R307">
        <v>3.5</v>
      </c>
      <c r="S307">
        <v>1.9</v>
      </c>
      <c r="T307">
        <v>4.4000000000000004</v>
      </c>
      <c r="U307">
        <v>3.3</v>
      </c>
      <c r="V307">
        <v>1.91</v>
      </c>
      <c r="W307">
        <v>4.0999999999999996</v>
      </c>
      <c r="X307">
        <v>3.45</v>
      </c>
      <c r="Y307">
        <v>1.95</v>
      </c>
      <c r="Z307">
        <v>4.42</v>
      </c>
      <c r="AA307">
        <v>3.47</v>
      </c>
      <c r="AB307">
        <v>1.96</v>
      </c>
      <c r="AC307">
        <v>4.33</v>
      </c>
      <c r="AD307">
        <v>3.3</v>
      </c>
      <c r="AE307">
        <v>1.91</v>
      </c>
      <c r="AF307">
        <v>4.0999999999999996</v>
      </c>
      <c r="AG307">
        <v>3.3</v>
      </c>
      <c r="AH307">
        <v>1.91</v>
      </c>
      <c r="AI307">
        <v>4.63</v>
      </c>
      <c r="AJ307">
        <v>3.56</v>
      </c>
      <c r="AK307">
        <v>2</v>
      </c>
      <c r="AL307">
        <v>4.25</v>
      </c>
      <c r="AM307">
        <v>3.44</v>
      </c>
      <c r="AN307">
        <v>1.95</v>
      </c>
      <c r="AO307">
        <v>1</v>
      </c>
      <c r="AP307">
        <v>0.21665834925812699</v>
      </c>
      <c r="AQ307">
        <v>0.28177757220930599</v>
      </c>
      <c r="AR307">
        <v>0.50156407853256502</v>
      </c>
      <c r="AS307">
        <v>1</v>
      </c>
      <c r="AT307">
        <v>3.1281570651313598E-3</v>
      </c>
      <c r="AU307">
        <v>1.98133474217954</v>
      </c>
      <c r="AV307">
        <f t="shared" si="25"/>
        <v>19982180863.832336</v>
      </c>
      <c r="AW307">
        <f t="shared" si="26"/>
        <v>4329306320.5352631</v>
      </c>
      <c r="AX307">
        <f t="shared" si="27"/>
        <v>5630530411.2579403</v>
      </c>
      <c r="AY307">
        <f t="shared" si="28"/>
        <v>10022344132.039133</v>
      </c>
      <c r="AZ307" cm="1">
        <f t="array" ref="AZ307">_xlfn.IFS(E307="H",AW307*AI307-AV307,E307="D",AX307*AJ307-AV307,E307="A",AY307*AK307-AV307)</f>
        <v>62507400.245929718</v>
      </c>
      <c r="BA307">
        <f t="shared" si="29"/>
        <v>1551893288.8748155</v>
      </c>
    </row>
    <row r="308" spans="1:53" x14ac:dyDescent="0.2">
      <c r="A308">
        <v>5</v>
      </c>
      <c r="B308" t="s">
        <v>55</v>
      </c>
      <c r="C308" s="1">
        <v>44450</v>
      </c>
      <c r="D308" t="s">
        <v>68</v>
      </c>
      <c r="E308" t="s">
        <v>74</v>
      </c>
      <c r="F308" t="s">
        <v>135</v>
      </c>
      <c r="G308" t="s">
        <v>59</v>
      </c>
      <c r="H308">
        <v>8615</v>
      </c>
      <c r="I308" t="s">
        <v>136</v>
      </c>
      <c r="J308" t="s">
        <v>81</v>
      </c>
      <c r="K308" t="s">
        <v>54</v>
      </c>
      <c r="L308">
        <v>2021</v>
      </c>
      <c r="M308">
        <v>1</v>
      </c>
      <c r="N308">
        <v>1.25</v>
      </c>
      <c r="O308">
        <v>1.75</v>
      </c>
      <c r="P308">
        <v>1.75</v>
      </c>
      <c r="Q308">
        <v>2</v>
      </c>
      <c r="R308">
        <v>3.6</v>
      </c>
      <c r="S308">
        <v>3.6</v>
      </c>
      <c r="T308">
        <v>2</v>
      </c>
      <c r="U308">
        <v>3.6</v>
      </c>
      <c r="V308">
        <v>3.4</v>
      </c>
      <c r="W308">
        <v>2.0499999999999998</v>
      </c>
      <c r="X308">
        <v>3.55</v>
      </c>
      <c r="Y308">
        <v>3.5</v>
      </c>
      <c r="Z308">
        <v>2.08</v>
      </c>
      <c r="AA308">
        <v>3.76</v>
      </c>
      <c r="AB308">
        <v>3.63</v>
      </c>
      <c r="AC308">
        <v>2.0499999999999998</v>
      </c>
      <c r="AD308">
        <v>3.4</v>
      </c>
      <c r="AE308">
        <v>3.5</v>
      </c>
      <c r="AF308">
        <v>2</v>
      </c>
      <c r="AG308">
        <v>3.5</v>
      </c>
      <c r="AH308">
        <v>3.6</v>
      </c>
      <c r="AI308">
        <v>2.14</v>
      </c>
      <c r="AJ308">
        <v>3.79</v>
      </c>
      <c r="AK308">
        <v>3.72</v>
      </c>
      <c r="AL308">
        <v>2.06</v>
      </c>
      <c r="AM308">
        <v>3.61</v>
      </c>
      <c r="AN308">
        <v>3.52</v>
      </c>
      <c r="AO308">
        <v>1</v>
      </c>
      <c r="AP308">
        <v>0.46730880140005698</v>
      </c>
      <c r="AQ308">
        <v>0.26386301714937199</v>
      </c>
      <c r="AR308">
        <v>0.26882818145057003</v>
      </c>
      <c r="AS308">
        <v>1</v>
      </c>
      <c r="AT308" s="2">
        <v>4.0834996122063303E-5</v>
      </c>
      <c r="AU308">
        <v>1.98137557717566</v>
      </c>
      <c r="AV308">
        <f t="shared" si="25"/>
        <v>21534074152.707153</v>
      </c>
      <c r="AW308">
        <f t="shared" si="26"/>
        <v>10063062381.561527</v>
      </c>
      <c r="AX308">
        <f t="shared" si="27"/>
        <v>5682045777.4516277</v>
      </c>
      <c r="AY308">
        <f t="shared" si="28"/>
        <v>5788965993.6939974</v>
      </c>
      <c r="AZ308" cm="1">
        <f t="array" ref="AZ308">_xlfn.IFS(E308="H",AW308*AI308-AV308,E308="D",AX308*AJ308-AV308,E308="A",AY308*AK308-AV308)</f>
        <v>879343.83451843262</v>
      </c>
      <c r="BA308">
        <f t="shared" si="29"/>
        <v>1552772632.7093339</v>
      </c>
    </row>
    <row r="309" spans="1:53" x14ac:dyDescent="0.2">
      <c r="A309">
        <v>3</v>
      </c>
      <c r="B309" t="s">
        <v>67</v>
      </c>
      <c r="C309" s="1">
        <v>44451</v>
      </c>
      <c r="D309" t="s">
        <v>183</v>
      </c>
      <c r="E309" t="s">
        <v>74</v>
      </c>
      <c r="F309" t="s">
        <v>141</v>
      </c>
      <c r="G309" t="s">
        <v>274</v>
      </c>
      <c r="H309">
        <v>6423</v>
      </c>
      <c r="I309" t="s">
        <v>143</v>
      </c>
      <c r="J309" t="s">
        <v>212</v>
      </c>
      <c r="K309" t="s">
        <v>54</v>
      </c>
      <c r="L309">
        <v>2021</v>
      </c>
      <c r="M309">
        <v>1.25</v>
      </c>
      <c r="N309">
        <v>1.25</v>
      </c>
      <c r="O309">
        <v>1.5</v>
      </c>
      <c r="P309">
        <v>1.5</v>
      </c>
      <c r="Q309">
        <v>2</v>
      </c>
      <c r="R309">
        <v>3.5</v>
      </c>
      <c r="S309">
        <v>3.75</v>
      </c>
      <c r="T309">
        <v>2.1</v>
      </c>
      <c r="U309">
        <v>3.25</v>
      </c>
      <c r="V309">
        <v>3.7</v>
      </c>
      <c r="W309">
        <v>2.1</v>
      </c>
      <c r="X309">
        <v>3.4</v>
      </c>
      <c r="Y309">
        <v>3.55</v>
      </c>
      <c r="Z309">
        <v>2.14</v>
      </c>
      <c r="AA309">
        <v>3.47</v>
      </c>
      <c r="AB309">
        <v>3.73</v>
      </c>
      <c r="AC309">
        <v>2.15</v>
      </c>
      <c r="AD309">
        <v>3.3</v>
      </c>
      <c r="AE309">
        <v>3.5</v>
      </c>
      <c r="AF309">
        <v>2.25</v>
      </c>
      <c r="AG309">
        <v>3.25</v>
      </c>
      <c r="AH309">
        <v>3.25</v>
      </c>
      <c r="AI309">
        <v>2.25</v>
      </c>
      <c r="AJ309">
        <v>3.72</v>
      </c>
      <c r="AK309">
        <v>3.96</v>
      </c>
      <c r="AL309">
        <v>2.11</v>
      </c>
      <c r="AM309">
        <v>3.43</v>
      </c>
      <c r="AN309">
        <v>3.59</v>
      </c>
      <c r="AO309">
        <v>1</v>
      </c>
      <c r="AP309">
        <v>0.46018893387314402</v>
      </c>
      <c r="AQ309">
        <v>0.27834008097165902</v>
      </c>
      <c r="AR309">
        <v>0.26147098515519501</v>
      </c>
      <c r="AS309">
        <v>1</v>
      </c>
      <c r="AT309">
        <v>3.54251012145749E-2</v>
      </c>
      <c r="AU309">
        <v>2.0168006783902399</v>
      </c>
      <c r="AV309">
        <f t="shared" si="25"/>
        <v>23086846785.416489</v>
      </c>
      <c r="AW309">
        <f t="shared" si="26"/>
        <v>10624311408.673443</v>
      </c>
      <c r="AX309">
        <f t="shared" si="27"/>
        <v>6425994803.633132</v>
      </c>
      <c r="AY309">
        <f t="shared" si="28"/>
        <v>6036540573.1099119</v>
      </c>
      <c r="AZ309" cm="1">
        <f t="array" ref="AZ309">_xlfn.IFS(E309="H",AW309*AI309-AV309,E309="D",AX309*AJ309-AV309,E309="A",AY309*AK309-AV309)</f>
        <v>817853884.09876251</v>
      </c>
      <c r="BA309">
        <f t="shared" si="29"/>
        <v>2370626516.8080964</v>
      </c>
    </row>
    <row r="310" spans="1:53" x14ac:dyDescent="0.2">
      <c r="A310">
        <v>3</v>
      </c>
      <c r="B310" t="s">
        <v>67</v>
      </c>
      <c r="C310" s="1">
        <v>44451</v>
      </c>
      <c r="D310" t="s">
        <v>48</v>
      </c>
      <c r="E310" t="s">
        <v>49</v>
      </c>
      <c r="F310" t="s">
        <v>108</v>
      </c>
      <c r="G310" t="s">
        <v>109</v>
      </c>
      <c r="H310">
        <v>29604</v>
      </c>
      <c r="I310" t="s">
        <v>110</v>
      </c>
      <c r="J310" t="s">
        <v>387</v>
      </c>
      <c r="K310" t="s">
        <v>54</v>
      </c>
      <c r="L310">
        <v>2021</v>
      </c>
      <c r="M310">
        <v>2.5</v>
      </c>
      <c r="N310">
        <v>2.75</v>
      </c>
      <c r="O310">
        <v>3</v>
      </c>
      <c r="P310">
        <v>2.5</v>
      </c>
      <c r="Q310">
        <v>1.57</v>
      </c>
      <c r="R310">
        <v>4.75</v>
      </c>
      <c r="S310">
        <v>5</v>
      </c>
      <c r="T310">
        <v>1.57</v>
      </c>
      <c r="U310">
        <v>4.75</v>
      </c>
      <c r="V310">
        <v>5</v>
      </c>
      <c r="W310">
        <v>1.6</v>
      </c>
      <c r="X310">
        <v>4.7</v>
      </c>
      <c r="Y310">
        <v>4.9000000000000004</v>
      </c>
      <c r="Z310">
        <v>1.61</v>
      </c>
      <c r="AA310">
        <v>5</v>
      </c>
      <c r="AB310">
        <v>4.9400000000000004</v>
      </c>
      <c r="AC310">
        <v>1.57</v>
      </c>
      <c r="AD310">
        <v>4.5</v>
      </c>
      <c r="AE310">
        <v>5.25</v>
      </c>
      <c r="AF310">
        <v>1.53</v>
      </c>
      <c r="AG310">
        <v>4.33</v>
      </c>
      <c r="AH310">
        <v>5.75</v>
      </c>
      <c r="AI310">
        <v>1.63</v>
      </c>
      <c r="AJ310">
        <v>5</v>
      </c>
      <c r="AK310">
        <v>5.75</v>
      </c>
      <c r="AL310">
        <v>1.59</v>
      </c>
      <c r="AM310">
        <v>4.71</v>
      </c>
      <c r="AN310">
        <v>5.01</v>
      </c>
      <c r="AO310">
        <v>1</v>
      </c>
      <c r="AP310">
        <v>0.62131935815008899</v>
      </c>
      <c r="AQ310">
        <v>0.202550110756929</v>
      </c>
      <c r="AR310">
        <v>0.17613053109298099</v>
      </c>
      <c r="AS310">
        <v>1</v>
      </c>
      <c r="AT310">
        <v>1.2750553784645E-2</v>
      </c>
      <c r="AU310">
        <v>2.0295512321748799</v>
      </c>
      <c r="AV310">
        <f t="shared" si="25"/>
        <v>25457473302.224586</v>
      </c>
      <c r="AW310">
        <f t="shared" si="26"/>
        <v>15817220972.261209</v>
      </c>
      <c r="AX310">
        <f t="shared" si="27"/>
        <v>5156414036.9571543</v>
      </c>
      <c r="AY310">
        <f t="shared" si="28"/>
        <v>4483838293.0062218</v>
      </c>
      <c r="AZ310" cm="1">
        <f t="array" ref="AZ310">_xlfn.IFS(E310="H",AW310*AI310-AV310,E310="D",AX310*AJ310-AV310,E310="A",AY310*AK310-AV310)</f>
        <v>324596882.56118393</v>
      </c>
      <c r="BA310">
        <f t="shared" si="29"/>
        <v>2695223399.3692803</v>
      </c>
    </row>
    <row r="311" spans="1:53" x14ac:dyDescent="0.2">
      <c r="A311">
        <v>5</v>
      </c>
      <c r="B311" t="s">
        <v>67</v>
      </c>
      <c r="C311" s="1">
        <v>44451</v>
      </c>
      <c r="D311" t="s">
        <v>82</v>
      </c>
      <c r="E311" t="s">
        <v>74</v>
      </c>
      <c r="F311" t="s">
        <v>58</v>
      </c>
      <c r="G311" t="s">
        <v>104</v>
      </c>
      <c r="H311">
        <v>14597</v>
      </c>
      <c r="I311" t="s">
        <v>60</v>
      </c>
      <c r="J311" t="s">
        <v>53</v>
      </c>
      <c r="K311" t="s">
        <v>54</v>
      </c>
      <c r="L311">
        <v>2021</v>
      </c>
      <c r="M311">
        <v>1.5</v>
      </c>
      <c r="N311">
        <v>1.5</v>
      </c>
      <c r="O311">
        <v>1.5</v>
      </c>
      <c r="P311">
        <v>1.75</v>
      </c>
      <c r="Q311">
        <v>3.3</v>
      </c>
      <c r="R311">
        <v>3.4</v>
      </c>
      <c r="S311">
        <v>2.2000000000000002</v>
      </c>
      <c r="T311">
        <v>3.2</v>
      </c>
      <c r="U311">
        <v>3.3</v>
      </c>
      <c r="V311">
        <v>2.2000000000000002</v>
      </c>
      <c r="W311">
        <v>3.3</v>
      </c>
      <c r="X311">
        <v>3.3</v>
      </c>
      <c r="Y311">
        <v>2.25</v>
      </c>
      <c r="Z311">
        <v>3.48</v>
      </c>
      <c r="AA311">
        <v>3.39</v>
      </c>
      <c r="AB311">
        <v>2.27</v>
      </c>
      <c r="AC311">
        <v>3.3</v>
      </c>
      <c r="AD311">
        <v>3.2</v>
      </c>
      <c r="AE311">
        <v>2.2000000000000002</v>
      </c>
      <c r="AF311">
        <v>3.4</v>
      </c>
      <c r="AG311">
        <v>3.25</v>
      </c>
      <c r="AH311">
        <v>2.2000000000000002</v>
      </c>
      <c r="AI311">
        <v>3.52</v>
      </c>
      <c r="AJ311">
        <v>3.51</v>
      </c>
      <c r="AK311">
        <v>2.35</v>
      </c>
      <c r="AL311">
        <v>3.31</v>
      </c>
      <c r="AM311">
        <v>3.33</v>
      </c>
      <c r="AN311">
        <v>2.25</v>
      </c>
      <c r="AO311">
        <v>1</v>
      </c>
      <c r="AP311">
        <v>0.285655412682636</v>
      </c>
      <c r="AQ311">
        <v>0.28646924576720201</v>
      </c>
      <c r="AR311">
        <v>0.42787534155016099</v>
      </c>
      <c r="AS311">
        <v>1</v>
      </c>
      <c r="AT311">
        <v>5.50705264287976E-3</v>
      </c>
      <c r="AU311">
        <v>2.0350582848177599</v>
      </c>
      <c r="AV311">
        <f t="shared" si="25"/>
        <v>28152696701.593868</v>
      </c>
      <c r="AW311">
        <f t="shared" si="26"/>
        <v>8041970194.4228888</v>
      </c>
      <c r="AX311">
        <f t="shared" si="27"/>
        <v>8064881790.4183969</v>
      </c>
      <c r="AY311">
        <f t="shared" si="28"/>
        <v>12045844716.752583</v>
      </c>
      <c r="AZ311" cm="1">
        <f t="array" ref="AZ311">_xlfn.IFS(E311="H",AW311*AI311-AV311,E311="D",AX311*AJ311-AV311,E311="A",AY311*AK311-AV311)</f>
        <v>155038382.77470016</v>
      </c>
      <c r="BA311">
        <f t="shared" si="29"/>
        <v>2850261782.1439805</v>
      </c>
    </row>
    <row r="312" spans="1:53" x14ac:dyDescent="0.2">
      <c r="A312">
        <v>6</v>
      </c>
      <c r="B312" t="s">
        <v>47</v>
      </c>
      <c r="C312" s="1">
        <v>44456</v>
      </c>
      <c r="D312" t="s">
        <v>68</v>
      </c>
      <c r="E312" t="s">
        <v>49</v>
      </c>
      <c r="F312" t="s">
        <v>83</v>
      </c>
      <c r="G312" t="s">
        <v>79</v>
      </c>
      <c r="H312">
        <v>25437</v>
      </c>
      <c r="I312" t="s">
        <v>84</v>
      </c>
      <c r="J312" t="s">
        <v>424</v>
      </c>
      <c r="K312" t="s">
        <v>54</v>
      </c>
      <c r="L312">
        <v>2021</v>
      </c>
      <c r="M312">
        <v>1.25</v>
      </c>
      <c r="N312">
        <v>1.25</v>
      </c>
      <c r="O312">
        <v>1</v>
      </c>
      <c r="P312">
        <v>2</v>
      </c>
      <c r="Q312">
        <v>1.85</v>
      </c>
      <c r="R312">
        <v>3.6</v>
      </c>
      <c r="S312">
        <v>4.2</v>
      </c>
      <c r="T312">
        <v>1.85</v>
      </c>
      <c r="U312">
        <v>3.5</v>
      </c>
      <c r="V312">
        <v>4.5</v>
      </c>
      <c r="W312">
        <v>1.9</v>
      </c>
      <c r="X312">
        <v>3.45</v>
      </c>
      <c r="Y312">
        <v>4.3</v>
      </c>
      <c r="Z312">
        <v>1.9</v>
      </c>
      <c r="AA312">
        <v>3.58</v>
      </c>
      <c r="AB312">
        <v>4.5999999999999996</v>
      </c>
      <c r="AC312">
        <v>1.85</v>
      </c>
      <c r="AD312">
        <v>3.4</v>
      </c>
      <c r="AE312">
        <v>4.2</v>
      </c>
      <c r="AF312">
        <v>1.9</v>
      </c>
      <c r="AG312">
        <v>3.4</v>
      </c>
      <c r="AH312">
        <v>4.33</v>
      </c>
      <c r="AI312">
        <v>2</v>
      </c>
      <c r="AJ312">
        <v>3.66</v>
      </c>
      <c r="AK312">
        <v>4.5999999999999996</v>
      </c>
      <c r="AL312">
        <v>1.91</v>
      </c>
      <c r="AM312">
        <v>3.47</v>
      </c>
      <c r="AN312">
        <v>4.3</v>
      </c>
      <c r="AO312">
        <v>1</v>
      </c>
      <c r="AP312">
        <v>0.50473677899028602</v>
      </c>
      <c r="AQ312">
        <v>0.27581244753567502</v>
      </c>
      <c r="AR312">
        <v>0.21945077347403699</v>
      </c>
      <c r="AS312">
        <v>1</v>
      </c>
      <c r="AT312">
        <v>9.4735579805733609E-3</v>
      </c>
      <c r="AU312">
        <v>2.0445318427983401</v>
      </c>
      <c r="AV312">
        <f t="shared" si="25"/>
        <v>31002958483.73785</v>
      </c>
      <c r="AW312">
        <f t="shared" si="26"/>
        <v>15648333404.251423</v>
      </c>
      <c r="AX312">
        <f t="shared" si="27"/>
        <v>8551001860.2466784</v>
      </c>
      <c r="AY312">
        <f t="shared" si="28"/>
        <v>6803623219.239749</v>
      </c>
      <c r="AZ312" cm="1">
        <f t="array" ref="AZ312">_xlfn.IFS(E312="H",AW312*AI312-AV312,E312="D",AX312*AJ312-AV312,E312="A",AY312*AK312-AV312)</f>
        <v>293708324.76499557</v>
      </c>
      <c r="BA312">
        <f t="shared" si="29"/>
        <v>3143970106.9089761</v>
      </c>
    </row>
    <row r="313" spans="1:53" x14ac:dyDescent="0.2">
      <c r="A313">
        <v>4</v>
      </c>
      <c r="B313" t="s">
        <v>55</v>
      </c>
      <c r="C313" s="1">
        <v>44457</v>
      </c>
      <c r="D313" t="s">
        <v>107</v>
      </c>
      <c r="E313" t="s">
        <v>49</v>
      </c>
      <c r="F313" t="s">
        <v>318</v>
      </c>
      <c r="G313" t="s">
        <v>241</v>
      </c>
      <c r="H313">
        <v>35278</v>
      </c>
      <c r="I313" t="s">
        <v>244</v>
      </c>
      <c r="J313" t="s">
        <v>352</v>
      </c>
      <c r="K313" t="s">
        <v>54</v>
      </c>
      <c r="L313">
        <v>2021</v>
      </c>
      <c r="M313">
        <v>3</v>
      </c>
      <c r="N313">
        <v>4.25</v>
      </c>
      <c r="O313">
        <v>0.75</v>
      </c>
      <c r="P313">
        <v>0.75</v>
      </c>
      <c r="Q313">
        <v>1.36</v>
      </c>
      <c r="R313">
        <v>5</v>
      </c>
      <c r="S313">
        <v>8.5</v>
      </c>
      <c r="T313">
        <v>1.36</v>
      </c>
      <c r="U313">
        <v>5.25</v>
      </c>
      <c r="V313">
        <v>7.75</v>
      </c>
      <c r="W313">
        <v>1.37</v>
      </c>
      <c r="X313">
        <v>5.25</v>
      </c>
      <c r="Y313">
        <v>7.5</v>
      </c>
      <c r="Z313">
        <v>1.4</v>
      </c>
      <c r="AA313">
        <v>5.3</v>
      </c>
      <c r="AB313">
        <v>8.33</v>
      </c>
      <c r="AC313">
        <v>1.38</v>
      </c>
      <c r="AD313">
        <v>4.75</v>
      </c>
      <c r="AE313">
        <v>8.5</v>
      </c>
      <c r="AF313">
        <v>1.36</v>
      </c>
      <c r="AG313">
        <v>5.25</v>
      </c>
      <c r="AH313">
        <v>7.5</v>
      </c>
      <c r="AI313">
        <v>1.58</v>
      </c>
      <c r="AJ313">
        <v>5.4</v>
      </c>
      <c r="AK313">
        <v>9</v>
      </c>
      <c r="AL313">
        <v>1.39</v>
      </c>
      <c r="AM313">
        <v>5.05</v>
      </c>
      <c r="AN313">
        <v>8.0399999999999991</v>
      </c>
      <c r="AO313">
        <v>1</v>
      </c>
      <c r="AP313">
        <v>0.68113017154389499</v>
      </c>
      <c r="AQ313">
        <v>0.19929364278506501</v>
      </c>
      <c r="AR313">
        <v>0.119576185671039</v>
      </c>
      <c r="AS313">
        <v>0.999999999999999</v>
      </c>
      <c r="AT313">
        <v>7.6185671039354003E-2</v>
      </c>
      <c r="AU313">
        <v>2.1207175138376901</v>
      </c>
      <c r="AV313">
        <f t="shared" si="25"/>
        <v>34146928590.646828</v>
      </c>
      <c r="AW313">
        <f t="shared" si="26"/>
        <v>23258503328.644409</v>
      </c>
      <c r="AX313">
        <f t="shared" si="27"/>
        <v>6805265788.7515116</v>
      </c>
      <c r="AY313">
        <f t="shared" si="28"/>
        <v>4083159473.2509074</v>
      </c>
      <c r="AZ313" cm="1">
        <f t="array" ref="AZ313">_xlfn.IFS(E313="H",AW313*AI313-AV313,E313="D",AX313*AJ313-AV313,E313="A",AY313*AK313-AV313)</f>
        <v>2601506668.6113434</v>
      </c>
      <c r="BA313">
        <f t="shared" si="29"/>
        <v>5745476775.520319</v>
      </c>
    </row>
    <row r="314" spans="1:53" x14ac:dyDescent="0.2">
      <c r="A314">
        <v>5</v>
      </c>
      <c r="B314" t="s">
        <v>55</v>
      </c>
      <c r="C314" s="1">
        <v>44457</v>
      </c>
      <c r="D314" t="s">
        <v>90</v>
      </c>
      <c r="E314" t="s">
        <v>74</v>
      </c>
      <c r="F314" t="s">
        <v>249</v>
      </c>
      <c r="G314" t="s">
        <v>178</v>
      </c>
      <c r="H314">
        <v>20000</v>
      </c>
      <c r="I314" t="s">
        <v>363</v>
      </c>
      <c r="J314" t="s">
        <v>129</v>
      </c>
      <c r="K314" t="s">
        <v>54</v>
      </c>
      <c r="L314">
        <v>2021</v>
      </c>
      <c r="M314">
        <v>0.25</v>
      </c>
      <c r="N314">
        <v>0.5</v>
      </c>
      <c r="O314">
        <v>1.5</v>
      </c>
      <c r="P314">
        <v>1</v>
      </c>
      <c r="Q314">
        <v>3.8</v>
      </c>
      <c r="R314">
        <v>3.6</v>
      </c>
      <c r="S314">
        <v>1.95</v>
      </c>
      <c r="T314">
        <v>3.9</v>
      </c>
      <c r="U314">
        <v>3.4</v>
      </c>
      <c r="V314">
        <v>2</v>
      </c>
      <c r="W314">
        <v>3.7</v>
      </c>
      <c r="X314">
        <v>3.5</v>
      </c>
      <c r="Y314">
        <v>2.0499999999999998</v>
      </c>
      <c r="Z314">
        <v>3.87</v>
      </c>
      <c r="AA314">
        <v>3.57</v>
      </c>
      <c r="AB314">
        <v>2.06</v>
      </c>
      <c r="AC314">
        <v>3.8</v>
      </c>
      <c r="AD314">
        <v>3.4</v>
      </c>
      <c r="AE314">
        <v>2</v>
      </c>
      <c r="AF314">
        <v>3.9</v>
      </c>
      <c r="AG314">
        <v>3.3</v>
      </c>
      <c r="AH314">
        <v>1.95</v>
      </c>
      <c r="AI314">
        <v>4</v>
      </c>
      <c r="AJ314">
        <v>3.66</v>
      </c>
      <c r="AK314">
        <v>2.1</v>
      </c>
      <c r="AL314">
        <v>3.82</v>
      </c>
      <c r="AM314">
        <v>3.5</v>
      </c>
      <c r="AN314">
        <v>2.0299999999999998</v>
      </c>
      <c r="AO314">
        <v>1</v>
      </c>
      <c r="AP314">
        <v>0.25014645577035699</v>
      </c>
      <c r="AQ314">
        <v>0.27338410466705698</v>
      </c>
      <c r="AR314">
        <v>0.47646943956258497</v>
      </c>
      <c r="AS314">
        <v>1</v>
      </c>
      <c r="AT314" s="2">
        <v>5.8582308142951501E-4</v>
      </c>
      <c r="AU314">
        <v>2.1213033369191199</v>
      </c>
      <c r="AV314">
        <f t="shared" si="25"/>
        <v>39892405366.167145</v>
      </c>
      <c r="AW314">
        <f t="shared" si="26"/>
        <v>9978943814.5010967</v>
      </c>
      <c r="AX314">
        <f t="shared" si="27"/>
        <v>10905949524.044914</v>
      </c>
      <c r="AY314">
        <f t="shared" si="28"/>
        <v>19007512027.621136</v>
      </c>
      <c r="AZ314" cm="1">
        <f t="array" ref="AZ314">_xlfn.IFS(E314="H",AW314*AI314-AV314,E314="D",AX314*AJ314-AV314,E314="A",AY314*AK314-AV314)</f>
        <v>23369891.837242126</v>
      </c>
      <c r="BA314">
        <f t="shared" si="29"/>
        <v>5768846667.3575611</v>
      </c>
    </row>
    <row r="315" spans="1:53" x14ac:dyDescent="0.2">
      <c r="A315">
        <v>6</v>
      </c>
      <c r="B315" t="s">
        <v>55</v>
      </c>
      <c r="C315" s="1">
        <v>44457</v>
      </c>
      <c r="D315" t="s">
        <v>68</v>
      </c>
      <c r="E315" t="s">
        <v>74</v>
      </c>
      <c r="F315" t="s">
        <v>217</v>
      </c>
      <c r="G315" t="s">
        <v>63</v>
      </c>
      <c r="H315">
        <v>23869</v>
      </c>
      <c r="I315" t="s">
        <v>425</v>
      </c>
      <c r="J315" t="s">
        <v>72</v>
      </c>
      <c r="K315" t="s">
        <v>54</v>
      </c>
      <c r="L315">
        <v>2021</v>
      </c>
      <c r="M315">
        <v>1.25</v>
      </c>
      <c r="N315">
        <v>0.75</v>
      </c>
      <c r="O315">
        <v>1</v>
      </c>
      <c r="P315">
        <v>1</v>
      </c>
      <c r="Q315">
        <v>1.95</v>
      </c>
      <c r="R315">
        <v>3.25</v>
      </c>
      <c r="S315">
        <v>4.2</v>
      </c>
      <c r="T315">
        <v>1.95</v>
      </c>
      <c r="U315">
        <v>3.4</v>
      </c>
      <c r="V315">
        <v>4.0999999999999996</v>
      </c>
      <c r="W315">
        <v>1.95</v>
      </c>
      <c r="X315">
        <v>3.5</v>
      </c>
      <c r="Y315">
        <v>3.95</v>
      </c>
      <c r="Z315">
        <v>1.97</v>
      </c>
      <c r="AA315">
        <v>3.53</v>
      </c>
      <c r="AB315">
        <v>4.32</v>
      </c>
      <c r="AC315">
        <v>1.91</v>
      </c>
      <c r="AD315">
        <v>3.4</v>
      </c>
      <c r="AE315">
        <v>4</v>
      </c>
      <c r="AF315">
        <v>1.93</v>
      </c>
      <c r="AG315">
        <v>3.4</v>
      </c>
      <c r="AH315">
        <v>4.0999999999999996</v>
      </c>
      <c r="AI315">
        <v>2.0299999999999998</v>
      </c>
      <c r="AJ315">
        <v>3.66</v>
      </c>
      <c r="AK315">
        <v>4.32</v>
      </c>
      <c r="AL315">
        <v>1.96</v>
      </c>
      <c r="AM315">
        <v>3.46</v>
      </c>
      <c r="AN315">
        <v>4.04</v>
      </c>
      <c r="AO315">
        <v>1</v>
      </c>
      <c r="AP315">
        <v>0.49393638357294101</v>
      </c>
      <c r="AQ315">
        <v>0.27395925099810597</v>
      </c>
      <c r="AR315">
        <v>0.23210436542895099</v>
      </c>
      <c r="AS315">
        <v>1</v>
      </c>
      <c r="AT315">
        <v>2.69085865307117E-3</v>
      </c>
      <c r="AU315">
        <v>2.1239941955721902</v>
      </c>
      <c r="AV315">
        <f t="shared" si="25"/>
        <v>45661252033.524704</v>
      </c>
      <c r="AW315">
        <f t="shared" si="26"/>
        <v>22553753698.85181</v>
      </c>
      <c r="AX315">
        <f t="shared" si="27"/>
        <v>12509322406.740211</v>
      </c>
      <c r="AY315">
        <f t="shared" si="28"/>
        <v>10598175927.932678</v>
      </c>
      <c r="AZ315" cm="1">
        <f t="array" ref="AZ315">_xlfn.IFS(E315="H",AW315*AI315-AV315,E315="D",AX315*AJ315-AV315,E315="A",AY315*AK315-AV315)</f>
        <v>122867975.14447021</v>
      </c>
      <c r="BA315">
        <f t="shared" si="29"/>
        <v>5891714642.5020313</v>
      </c>
    </row>
    <row r="316" spans="1:53" x14ac:dyDescent="0.2">
      <c r="A316">
        <v>5</v>
      </c>
      <c r="B316" t="s">
        <v>67</v>
      </c>
      <c r="C316" s="1">
        <v>44458</v>
      </c>
      <c r="D316" t="s">
        <v>56</v>
      </c>
      <c r="E316" t="s">
        <v>49</v>
      </c>
      <c r="F316" t="s">
        <v>220</v>
      </c>
      <c r="G316" t="s">
        <v>255</v>
      </c>
      <c r="H316">
        <v>25000</v>
      </c>
      <c r="I316" t="s">
        <v>221</v>
      </c>
      <c r="J316" t="s">
        <v>374</v>
      </c>
      <c r="K316" t="s">
        <v>54</v>
      </c>
      <c r="L316">
        <v>2021</v>
      </c>
      <c r="M316">
        <v>3</v>
      </c>
      <c r="N316">
        <v>3.5</v>
      </c>
      <c r="O316">
        <v>0.5</v>
      </c>
      <c r="P316">
        <v>0.75</v>
      </c>
      <c r="Q316">
        <v>1.36</v>
      </c>
      <c r="R316">
        <v>5.25</v>
      </c>
      <c r="S316">
        <v>8</v>
      </c>
      <c r="T316">
        <v>1.36</v>
      </c>
      <c r="U316">
        <v>5</v>
      </c>
      <c r="V316">
        <v>8.5</v>
      </c>
      <c r="W316">
        <v>1.37</v>
      </c>
      <c r="X316">
        <v>5.5</v>
      </c>
      <c r="Y316">
        <v>7.5</v>
      </c>
      <c r="Z316">
        <v>1.38</v>
      </c>
      <c r="AA316">
        <v>5.41</v>
      </c>
      <c r="AB316">
        <v>8.51</v>
      </c>
      <c r="AC316">
        <v>1.36</v>
      </c>
      <c r="AD316">
        <v>5</v>
      </c>
      <c r="AE316">
        <v>8</v>
      </c>
      <c r="AF316">
        <v>1.36</v>
      </c>
      <c r="AG316">
        <v>5.25</v>
      </c>
      <c r="AH316">
        <v>7.5</v>
      </c>
      <c r="AI316">
        <v>1.42</v>
      </c>
      <c r="AJ316">
        <v>5.65</v>
      </c>
      <c r="AK316">
        <v>8.9</v>
      </c>
      <c r="AL316">
        <v>1.37</v>
      </c>
      <c r="AM316">
        <v>5.25</v>
      </c>
      <c r="AN316">
        <v>8.07</v>
      </c>
      <c r="AO316">
        <v>1</v>
      </c>
      <c r="AP316">
        <v>0.70877850759732697</v>
      </c>
      <c r="AQ316">
        <v>0.17813548332534601</v>
      </c>
      <c r="AR316">
        <v>0.11308600907732599</v>
      </c>
      <c r="AS316">
        <v>1</v>
      </c>
      <c r="AT316">
        <v>6.4654807882051904E-3</v>
      </c>
      <c r="AU316">
        <v>2.1304596763603998</v>
      </c>
      <c r="AV316">
        <f t="shared" si="25"/>
        <v>51552966676.026733</v>
      </c>
      <c r="AW316">
        <f t="shared" si="26"/>
        <v>36539634782.848991</v>
      </c>
      <c r="AX316">
        <f t="shared" si="27"/>
        <v>9183412635.6894798</v>
      </c>
      <c r="AY316">
        <f t="shared" si="28"/>
        <v>5829919257.488265</v>
      </c>
      <c r="AZ316" cm="1">
        <f t="array" ref="AZ316">_xlfn.IFS(E316="H",AW316*AI316-AV316,E316="D",AX316*AJ316-AV316,E316="A",AY316*AK316-AV316)</f>
        <v>333314715.61883545</v>
      </c>
      <c r="BA316">
        <f t="shared" si="29"/>
        <v>6225029358.1208668</v>
      </c>
    </row>
    <row r="317" spans="1:53" x14ac:dyDescent="0.2">
      <c r="A317">
        <v>4</v>
      </c>
      <c r="B317" t="s">
        <v>67</v>
      </c>
      <c r="C317" s="1">
        <v>44458</v>
      </c>
      <c r="D317" t="s">
        <v>48</v>
      </c>
      <c r="E317" t="s">
        <v>57</v>
      </c>
      <c r="F317" t="s">
        <v>132</v>
      </c>
      <c r="G317" t="s">
        <v>243</v>
      </c>
      <c r="H317">
        <v>18785</v>
      </c>
      <c r="I317" t="s">
        <v>321</v>
      </c>
      <c r="J317" t="s">
        <v>196</v>
      </c>
      <c r="K317" t="s">
        <v>54</v>
      </c>
      <c r="L317">
        <v>2021</v>
      </c>
      <c r="M317">
        <v>1.5</v>
      </c>
      <c r="N317">
        <v>1.5</v>
      </c>
      <c r="O317">
        <v>3</v>
      </c>
      <c r="P317">
        <v>3.25</v>
      </c>
      <c r="Q317">
        <v>2.1</v>
      </c>
      <c r="R317">
        <v>3.4</v>
      </c>
      <c r="S317">
        <v>3.5</v>
      </c>
      <c r="T317">
        <v>2.15</v>
      </c>
      <c r="U317">
        <v>3.4</v>
      </c>
      <c r="V317">
        <v>3.4</v>
      </c>
      <c r="W317">
        <v>2.1</v>
      </c>
      <c r="X317">
        <v>3.55</v>
      </c>
      <c r="Y317">
        <v>3.4</v>
      </c>
      <c r="Z317">
        <v>2.13</v>
      </c>
      <c r="AA317">
        <v>3.69</v>
      </c>
      <c r="AB317">
        <v>3.55</v>
      </c>
      <c r="AC317">
        <v>2.15</v>
      </c>
      <c r="AD317">
        <v>3.4</v>
      </c>
      <c r="AE317">
        <v>3.4</v>
      </c>
      <c r="AF317">
        <v>2.1</v>
      </c>
      <c r="AG317">
        <v>3.4</v>
      </c>
      <c r="AH317">
        <v>3.5</v>
      </c>
      <c r="AI317">
        <v>2.21</v>
      </c>
      <c r="AJ317">
        <v>3.75</v>
      </c>
      <c r="AK317">
        <v>3.66</v>
      </c>
      <c r="AL317">
        <v>2.13</v>
      </c>
      <c r="AM317">
        <v>3.55</v>
      </c>
      <c r="AN317">
        <v>3.43</v>
      </c>
      <c r="AO317">
        <v>1</v>
      </c>
      <c r="AP317">
        <v>0.45596340333077501</v>
      </c>
      <c r="AQ317">
        <v>0.26871443236293602</v>
      </c>
      <c r="AR317">
        <v>0.27532216430628698</v>
      </c>
      <c r="AS317">
        <v>1</v>
      </c>
      <c r="AT317">
        <v>7.6791213610134497E-3</v>
      </c>
      <c r="AU317">
        <v>2.1381387977214099</v>
      </c>
      <c r="AV317">
        <f t="shared" si="25"/>
        <v>57777996034.147598</v>
      </c>
      <c r="AW317">
        <f t="shared" si="26"/>
        <v>26344651709.361977</v>
      </c>
      <c r="AX317">
        <f t="shared" si="27"/>
        <v>15525781407.383991</v>
      </c>
      <c r="AY317">
        <f t="shared" si="28"/>
        <v>15907562917.401628</v>
      </c>
      <c r="AZ317" cm="1">
        <f t="array" ref="AZ317">_xlfn.IFS(E317="H",AW317*AI317-AV317,E317="D",AX317*AJ317-AV317,E317="A",AY317*AK317-AV317)</f>
        <v>443684243.54236603</v>
      </c>
      <c r="BA317">
        <f t="shared" si="29"/>
        <v>6668713601.6632328</v>
      </c>
    </row>
    <row r="318" spans="1:53" x14ac:dyDescent="0.2">
      <c r="A318">
        <v>5</v>
      </c>
      <c r="B318" t="s">
        <v>67</v>
      </c>
      <c r="C318" s="1">
        <v>44458</v>
      </c>
      <c r="D318" t="s">
        <v>125</v>
      </c>
      <c r="E318" t="s">
        <v>49</v>
      </c>
      <c r="F318" t="s">
        <v>284</v>
      </c>
      <c r="G318" t="s">
        <v>153</v>
      </c>
      <c r="H318">
        <v>31078</v>
      </c>
      <c r="I318" t="s">
        <v>285</v>
      </c>
      <c r="J318" t="s">
        <v>94</v>
      </c>
      <c r="K318" t="s">
        <v>54</v>
      </c>
      <c r="L318">
        <v>2021</v>
      </c>
      <c r="M318">
        <v>1.75</v>
      </c>
      <c r="N318">
        <v>1.5</v>
      </c>
      <c r="O318">
        <v>1.5</v>
      </c>
      <c r="P318">
        <v>1.5</v>
      </c>
      <c r="Q318">
        <v>2.7</v>
      </c>
      <c r="R318">
        <v>3.2</v>
      </c>
      <c r="S318">
        <v>2.75</v>
      </c>
      <c r="T318">
        <v>2.75</v>
      </c>
      <c r="U318">
        <v>3.2</v>
      </c>
      <c r="V318">
        <v>2.65</v>
      </c>
      <c r="W318">
        <v>2.75</v>
      </c>
      <c r="X318">
        <v>3.15</v>
      </c>
      <c r="Y318">
        <v>2.7</v>
      </c>
      <c r="Z318">
        <v>2.83</v>
      </c>
      <c r="AA318">
        <v>3.25</v>
      </c>
      <c r="AB318">
        <v>2.77</v>
      </c>
      <c r="AC318">
        <v>2.62</v>
      </c>
      <c r="AD318">
        <v>3.2</v>
      </c>
      <c r="AE318">
        <v>2.7</v>
      </c>
      <c r="AF318">
        <v>2.7</v>
      </c>
      <c r="AG318">
        <v>3.1</v>
      </c>
      <c r="AH318">
        <v>2.63</v>
      </c>
      <c r="AI318">
        <v>2.88</v>
      </c>
      <c r="AJ318">
        <v>3.42</v>
      </c>
      <c r="AK318">
        <v>2.85</v>
      </c>
      <c r="AL318">
        <v>2.75</v>
      </c>
      <c r="AM318">
        <v>3.23</v>
      </c>
      <c r="AN318">
        <v>2.73</v>
      </c>
      <c r="AO318">
        <v>1</v>
      </c>
      <c r="AP318">
        <v>0.35055350553505499</v>
      </c>
      <c r="AQ318">
        <v>0.29520295202952002</v>
      </c>
      <c r="AR318">
        <v>0.354243542435424</v>
      </c>
      <c r="AS318">
        <v>1</v>
      </c>
      <c r="AT318">
        <v>9.5940959409595E-3</v>
      </c>
      <c r="AU318">
        <v>2.1477328936623699</v>
      </c>
      <c r="AV318">
        <f t="shared" si="25"/>
        <v>64446709635.810829</v>
      </c>
      <c r="AW318">
        <f t="shared" si="26"/>
        <v>22592019983.033318</v>
      </c>
      <c r="AX318">
        <f t="shared" si="27"/>
        <v>19024858933.080688</v>
      </c>
      <c r="AY318">
        <f t="shared" si="28"/>
        <v>22829830719.696823</v>
      </c>
      <c r="AZ318" cm="1">
        <f t="array" ref="AZ318">_xlfn.IFS(E318="H",AW318*AI318-AV318,E318="D",AX318*AJ318-AV318,E318="A",AY318*AK318-AV318)</f>
        <v>618307915.32512665</v>
      </c>
      <c r="BA318">
        <f t="shared" si="29"/>
        <v>7287021516.9883595</v>
      </c>
    </row>
    <row r="319" spans="1:53" x14ac:dyDescent="0.2">
      <c r="A319">
        <v>7</v>
      </c>
      <c r="B319" t="s">
        <v>202</v>
      </c>
      <c r="C319" s="1">
        <v>44461</v>
      </c>
      <c r="D319" t="s">
        <v>68</v>
      </c>
      <c r="E319" t="s">
        <v>74</v>
      </c>
      <c r="F319" t="s">
        <v>79</v>
      </c>
      <c r="G319" t="s">
        <v>70</v>
      </c>
      <c r="H319">
        <v>2661</v>
      </c>
      <c r="I319" t="s">
        <v>426</v>
      </c>
      <c r="J319" t="s">
        <v>408</v>
      </c>
      <c r="K319" t="s">
        <v>54</v>
      </c>
      <c r="L319">
        <v>2021</v>
      </c>
      <c r="M319">
        <v>0.75</v>
      </c>
      <c r="N319">
        <v>1.25</v>
      </c>
      <c r="O319">
        <v>3</v>
      </c>
      <c r="P319">
        <v>2.5</v>
      </c>
      <c r="Q319">
        <v>11</v>
      </c>
      <c r="R319">
        <v>7</v>
      </c>
      <c r="S319">
        <v>1.22</v>
      </c>
      <c r="T319">
        <v>9.75</v>
      </c>
      <c r="U319">
        <v>6.5</v>
      </c>
      <c r="V319">
        <v>1.26</v>
      </c>
      <c r="W319">
        <v>9.5</v>
      </c>
      <c r="X319">
        <v>6.25</v>
      </c>
      <c r="Y319">
        <v>1.27</v>
      </c>
      <c r="Z319">
        <v>10.51</v>
      </c>
      <c r="AA319">
        <v>6.63</v>
      </c>
      <c r="AB319">
        <v>1.27</v>
      </c>
      <c r="AC319">
        <v>11</v>
      </c>
      <c r="AD319">
        <v>5.8</v>
      </c>
      <c r="AE319">
        <v>1.24</v>
      </c>
      <c r="AF319">
        <v>13</v>
      </c>
      <c r="AG319">
        <v>6</v>
      </c>
      <c r="AH319">
        <v>1.22</v>
      </c>
      <c r="AI319">
        <v>13</v>
      </c>
      <c r="AJ319">
        <v>7</v>
      </c>
      <c r="AK319">
        <v>1.3</v>
      </c>
      <c r="AL319">
        <v>10.61</v>
      </c>
      <c r="AM319">
        <v>6.34</v>
      </c>
      <c r="AN319">
        <v>1.26</v>
      </c>
      <c r="AO319">
        <v>1</v>
      </c>
      <c r="AP319">
        <v>7.7777777777777696E-2</v>
      </c>
      <c r="AQ319">
        <v>0.14444444444444399</v>
      </c>
      <c r="AR319">
        <v>0.77777777777777701</v>
      </c>
      <c r="AS319">
        <v>0.999999999999999</v>
      </c>
      <c r="AT319">
        <v>1.1111111111111001E-2</v>
      </c>
      <c r="AU319">
        <v>2.15884400477348</v>
      </c>
      <c r="AV319">
        <f t="shared" si="25"/>
        <v>71733731152.799194</v>
      </c>
      <c r="AW319">
        <f t="shared" si="26"/>
        <v>5579290200.7732706</v>
      </c>
      <c r="AX319">
        <f t="shared" si="27"/>
        <v>10361538944.293219</v>
      </c>
      <c r="AY319">
        <f t="shared" si="28"/>
        <v>55792902007.732704</v>
      </c>
      <c r="AZ319" cm="1">
        <f t="array" ref="AZ319">_xlfn.IFS(E319="H",AW319*AI319-AV319,E319="D",AX319*AJ319-AV319,E319="A",AY319*AK319-AV319)</f>
        <v>797041457.25332642</v>
      </c>
      <c r="BA319">
        <f t="shared" si="29"/>
        <v>8084062974.2416859</v>
      </c>
    </row>
    <row r="320" spans="1:53" x14ac:dyDescent="0.2">
      <c r="A320">
        <v>5</v>
      </c>
      <c r="B320" t="s">
        <v>229</v>
      </c>
      <c r="C320" s="1">
        <v>44462</v>
      </c>
      <c r="D320" t="s">
        <v>190</v>
      </c>
      <c r="E320" t="s">
        <v>57</v>
      </c>
      <c r="F320" t="s">
        <v>375</v>
      </c>
      <c r="G320" t="s">
        <v>184</v>
      </c>
      <c r="H320">
        <v>8646</v>
      </c>
      <c r="I320" t="s">
        <v>377</v>
      </c>
      <c r="J320" t="s">
        <v>390</v>
      </c>
      <c r="K320" t="s">
        <v>54</v>
      </c>
      <c r="L320">
        <v>2021</v>
      </c>
      <c r="M320">
        <v>1</v>
      </c>
      <c r="N320">
        <v>1.5</v>
      </c>
      <c r="O320">
        <v>0.75</v>
      </c>
      <c r="P320">
        <v>0.75</v>
      </c>
      <c r="Q320">
        <v>3.25</v>
      </c>
      <c r="R320">
        <v>3.5</v>
      </c>
      <c r="S320">
        <v>2.15</v>
      </c>
      <c r="T320">
        <v>3.3</v>
      </c>
      <c r="U320">
        <v>3.4</v>
      </c>
      <c r="V320">
        <v>2.2000000000000002</v>
      </c>
      <c r="W320">
        <v>3.3</v>
      </c>
      <c r="X320">
        <v>3.45</v>
      </c>
      <c r="Y320">
        <v>2.2000000000000002</v>
      </c>
      <c r="Z320">
        <v>3.42</v>
      </c>
      <c r="AA320">
        <v>3.55</v>
      </c>
      <c r="AB320">
        <v>2.23</v>
      </c>
      <c r="AC320">
        <v>3.3</v>
      </c>
      <c r="AD320">
        <v>3.4</v>
      </c>
      <c r="AE320">
        <v>2.2000000000000002</v>
      </c>
      <c r="AF320">
        <v>3.2</v>
      </c>
      <c r="AG320">
        <v>3.4</v>
      </c>
      <c r="AH320">
        <v>2.2000000000000002</v>
      </c>
      <c r="AI320">
        <v>3.6</v>
      </c>
      <c r="AJ320">
        <v>3.6</v>
      </c>
      <c r="AK320">
        <v>2.27</v>
      </c>
      <c r="AL320">
        <v>3.34</v>
      </c>
      <c r="AM320">
        <v>3.44</v>
      </c>
      <c r="AN320">
        <v>2.2000000000000002</v>
      </c>
      <c r="AO320">
        <v>1</v>
      </c>
      <c r="AP320">
        <v>0.27886977886977798</v>
      </c>
      <c r="AQ320">
        <v>0.27886977886977798</v>
      </c>
      <c r="AR320">
        <v>0.44226044226044198</v>
      </c>
      <c r="AS320">
        <v>1</v>
      </c>
      <c r="AT320">
        <v>3.9312039312040499E-3</v>
      </c>
      <c r="AU320">
        <v>2.1627752087046899</v>
      </c>
      <c r="AV320">
        <f t="shared" si="25"/>
        <v>79817794127.040878</v>
      </c>
      <c r="AW320">
        <f t="shared" si="26"/>
        <v>22258770598.081425</v>
      </c>
      <c r="AX320">
        <f t="shared" si="27"/>
        <v>22258770598.081425</v>
      </c>
      <c r="AY320">
        <f t="shared" si="28"/>
        <v>35300252930.878029</v>
      </c>
      <c r="AZ320" cm="1">
        <f t="array" ref="AZ320">_xlfn.IFS(E320="H",AW320*AI320-AV320,E320="D",AX320*AJ320-AV320,E320="A",AY320*AK320-AV320)</f>
        <v>313780026.05224609</v>
      </c>
      <c r="BA320">
        <f t="shared" si="29"/>
        <v>8397843000.293932</v>
      </c>
    </row>
    <row r="321" spans="1:53" x14ac:dyDescent="0.2">
      <c r="A321">
        <v>6</v>
      </c>
      <c r="B321" t="s">
        <v>55</v>
      </c>
      <c r="C321" s="1">
        <v>44464</v>
      </c>
      <c r="D321" t="s">
        <v>73</v>
      </c>
      <c r="E321" t="s">
        <v>57</v>
      </c>
      <c r="F321" t="s">
        <v>200</v>
      </c>
      <c r="G321" t="s">
        <v>223</v>
      </c>
      <c r="H321">
        <v>24000</v>
      </c>
      <c r="I321" t="s">
        <v>380</v>
      </c>
      <c r="J321" t="s">
        <v>78</v>
      </c>
      <c r="K321" t="s">
        <v>54</v>
      </c>
      <c r="L321">
        <v>2021</v>
      </c>
      <c r="M321">
        <v>1.5</v>
      </c>
      <c r="N321">
        <v>1.25</v>
      </c>
      <c r="O321">
        <v>1.25</v>
      </c>
      <c r="P321">
        <v>1.5</v>
      </c>
      <c r="Q321">
        <v>2</v>
      </c>
      <c r="R321">
        <v>3.75</v>
      </c>
      <c r="S321">
        <v>3.5</v>
      </c>
      <c r="T321">
        <v>2</v>
      </c>
      <c r="U321">
        <v>3.7</v>
      </c>
      <c r="V321">
        <v>3.6</v>
      </c>
      <c r="W321">
        <v>2.1</v>
      </c>
      <c r="X321">
        <v>3.6</v>
      </c>
      <c r="Y321">
        <v>3.4</v>
      </c>
      <c r="Z321">
        <v>2.08</v>
      </c>
      <c r="AA321">
        <v>3.89</v>
      </c>
      <c r="AB321">
        <v>3.5</v>
      </c>
      <c r="AC321">
        <v>2</v>
      </c>
      <c r="AD321">
        <v>3.6</v>
      </c>
      <c r="AE321">
        <v>3.5</v>
      </c>
      <c r="AF321">
        <v>2</v>
      </c>
      <c r="AG321">
        <v>3.9</v>
      </c>
      <c r="AH321">
        <v>3.3</v>
      </c>
      <c r="AI321">
        <v>2.1</v>
      </c>
      <c r="AJ321">
        <v>4</v>
      </c>
      <c r="AK321">
        <v>3.66</v>
      </c>
      <c r="AL321">
        <v>2.04</v>
      </c>
      <c r="AM321">
        <v>3.8</v>
      </c>
      <c r="AN321">
        <v>3.46</v>
      </c>
      <c r="AO321">
        <v>1</v>
      </c>
      <c r="AP321">
        <v>0.47646943956258497</v>
      </c>
      <c r="AQ321">
        <v>0.25014645577035699</v>
      </c>
      <c r="AR321">
        <v>0.27338410466705698</v>
      </c>
      <c r="AS321">
        <v>1</v>
      </c>
      <c r="AT321" s="2">
        <v>5.8582308142951501E-4</v>
      </c>
      <c r="AU321">
        <v>2.1633610317861098</v>
      </c>
      <c r="AV321">
        <f t="shared" si="25"/>
        <v>88215637127.334808</v>
      </c>
      <c r="AW321">
        <f t="shared" si="26"/>
        <v>42032055182.717621</v>
      </c>
      <c r="AX321">
        <f t="shared" si="27"/>
        <v>22066828970.92675</v>
      </c>
      <c r="AY321">
        <f t="shared" si="28"/>
        <v>24116752973.690437</v>
      </c>
      <c r="AZ321" cm="1">
        <f t="array" ref="AZ321">_xlfn.IFS(E321="H",AW321*AI321-AV321,E321="D",AX321*AJ321-AV321,E321="A",AY321*AK321-AV321)</f>
        <v>51678756.372192383</v>
      </c>
      <c r="BA321">
        <f t="shared" si="29"/>
        <v>8449521756.6661243</v>
      </c>
    </row>
    <row r="322" spans="1:53" x14ac:dyDescent="0.2">
      <c r="A322">
        <v>6</v>
      </c>
      <c r="B322" t="s">
        <v>55</v>
      </c>
      <c r="C322" s="1">
        <v>44464</v>
      </c>
      <c r="D322" t="s">
        <v>90</v>
      </c>
      <c r="E322" t="s">
        <v>74</v>
      </c>
      <c r="F322" t="s">
        <v>346</v>
      </c>
      <c r="G322" t="s">
        <v>126</v>
      </c>
      <c r="H322">
        <v>36417</v>
      </c>
      <c r="I322" t="s">
        <v>347</v>
      </c>
      <c r="J322" t="s">
        <v>103</v>
      </c>
      <c r="K322" t="s">
        <v>54</v>
      </c>
      <c r="L322">
        <v>2021</v>
      </c>
      <c r="M322">
        <v>1.75</v>
      </c>
      <c r="N322">
        <v>2</v>
      </c>
      <c r="O322">
        <v>2</v>
      </c>
      <c r="P322">
        <v>2</v>
      </c>
      <c r="Q322">
        <v>3</v>
      </c>
      <c r="R322">
        <v>3.6</v>
      </c>
      <c r="S322">
        <v>2.25</v>
      </c>
      <c r="T322">
        <v>3</v>
      </c>
      <c r="U322">
        <v>3.6</v>
      </c>
      <c r="V322">
        <v>2.2999999999999998</v>
      </c>
      <c r="W322">
        <v>3.05</v>
      </c>
      <c r="X322">
        <v>3.6</v>
      </c>
      <c r="Y322">
        <v>2.25</v>
      </c>
      <c r="Z322">
        <v>3.17</v>
      </c>
      <c r="AA322">
        <v>3.73</v>
      </c>
      <c r="AB322">
        <v>2.2799999999999998</v>
      </c>
      <c r="AC322">
        <v>3</v>
      </c>
      <c r="AD322">
        <v>3.5</v>
      </c>
      <c r="AE322">
        <v>2.2999999999999998</v>
      </c>
      <c r="AF322">
        <v>3</v>
      </c>
      <c r="AG322">
        <v>3.6</v>
      </c>
      <c r="AH322">
        <v>2.2000000000000002</v>
      </c>
      <c r="AI322">
        <v>3.18</v>
      </c>
      <c r="AJ322">
        <v>3.75</v>
      </c>
      <c r="AK322">
        <v>2.4</v>
      </c>
      <c r="AL322">
        <v>3.04</v>
      </c>
      <c r="AM322">
        <v>3.67</v>
      </c>
      <c r="AN322">
        <v>2.29</v>
      </c>
      <c r="AO322">
        <v>1</v>
      </c>
      <c r="AP322">
        <v>0.31515915537346301</v>
      </c>
      <c r="AQ322">
        <v>0.26725496375669699</v>
      </c>
      <c r="AR322">
        <v>0.417585880869839</v>
      </c>
      <c r="AS322">
        <v>1</v>
      </c>
      <c r="AT322">
        <v>2.2061140876141702E-3</v>
      </c>
      <c r="AU322">
        <v>2.1655671458737298</v>
      </c>
      <c r="AV322">
        <f t="shared" si="25"/>
        <v>96665158884.000931</v>
      </c>
      <c r="AW322">
        <f t="shared" si="26"/>
        <v>30464909827.923393</v>
      </c>
      <c r="AX322">
        <f t="shared" si="27"/>
        <v>25834243534.079041</v>
      </c>
      <c r="AY322">
        <f t="shared" si="28"/>
        <v>40366005521.998497</v>
      </c>
      <c r="AZ322" cm="1">
        <f t="array" ref="AZ322">_xlfn.IFS(E322="H",AW322*AI322-AV322,E322="D",AX322*AJ322-AV322,E322="A",AY322*AK322-AV322)</f>
        <v>213254368.79545593</v>
      </c>
      <c r="BA322">
        <f t="shared" si="29"/>
        <v>8662776125.4615803</v>
      </c>
    </row>
    <row r="323" spans="1:53" x14ac:dyDescent="0.2">
      <c r="A323">
        <v>6</v>
      </c>
      <c r="B323" t="s">
        <v>67</v>
      </c>
      <c r="C323" s="1">
        <v>44465</v>
      </c>
      <c r="D323" t="s">
        <v>73</v>
      </c>
      <c r="E323" t="s">
        <v>57</v>
      </c>
      <c r="F323" t="s">
        <v>427</v>
      </c>
      <c r="G323" t="s">
        <v>364</v>
      </c>
      <c r="H323">
        <v>15300</v>
      </c>
      <c r="I323" t="s">
        <v>428</v>
      </c>
      <c r="J323" t="s">
        <v>174</v>
      </c>
      <c r="K323" t="s">
        <v>54</v>
      </c>
      <c r="L323">
        <v>2021</v>
      </c>
      <c r="M323">
        <v>1.5</v>
      </c>
      <c r="N323">
        <v>1.5</v>
      </c>
      <c r="O323">
        <v>1</v>
      </c>
      <c r="P323">
        <v>0.75</v>
      </c>
      <c r="Q323">
        <v>3</v>
      </c>
      <c r="R323">
        <v>3.5</v>
      </c>
      <c r="S323">
        <v>2.2999999999999998</v>
      </c>
      <c r="T323">
        <v>3</v>
      </c>
      <c r="U323">
        <v>3.5</v>
      </c>
      <c r="V323">
        <v>2.2999999999999998</v>
      </c>
      <c r="W323">
        <v>3.1</v>
      </c>
      <c r="X323">
        <v>3.45</v>
      </c>
      <c r="Y323">
        <v>2.2999999999999998</v>
      </c>
      <c r="Z323">
        <v>3.15</v>
      </c>
      <c r="AA323">
        <v>3.62</v>
      </c>
      <c r="AB323">
        <v>2.33</v>
      </c>
      <c r="AC323">
        <v>3</v>
      </c>
      <c r="AD323">
        <v>3.4</v>
      </c>
      <c r="AE323">
        <v>2.2999999999999998</v>
      </c>
      <c r="AF323">
        <v>2.9</v>
      </c>
      <c r="AG323">
        <v>3.6</v>
      </c>
      <c r="AH323">
        <v>2.2999999999999998</v>
      </c>
      <c r="AI323">
        <v>3.21</v>
      </c>
      <c r="AJ323">
        <v>3.68</v>
      </c>
      <c r="AK323">
        <v>2.4</v>
      </c>
      <c r="AL323">
        <v>3.03</v>
      </c>
      <c r="AM323">
        <v>3.53</v>
      </c>
      <c r="AN323">
        <v>2.3199999999999998</v>
      </c>
      <c r="AO323">
        <v>1</v>
      </c>
      <c r="AP323">
        <v>0.31154757873349098</v>
      </c>
      <c r="AQ323">
        <v>0.27175753471046299</v>
      </c>
      <c r="AR323">
        <v>0.41669488655604398</v>
      </c>
      <c r="AS323">
        <v>1</v>
      </c>
      <c r="AT323" s="2">
        <v>6.7727734507361194E-5</v>
      </c>
      <c r="AU323">
        <v>2.1656348736082398</v>
      </c>
      <c r="AV323">
        <f t="shared" si="25"/>
        <v>105327935009.46251</v>
      </c>
      <c r="AW323">
        <f t="shared" si="26"/>
        <v>32814663125.196583</v>
      </c>
      <c r="AX323">
        <f t="shared" si="27"/>
        <v>28623659954.315498</v>
      </c>
      <c r="AY323">
        <f t="shared" si="28"/>
        <v>43889611929.950432</v>
      </c>
      <c r="AZ323" cm="1">
        <f t="array" ref="AZ323">_xlfn.IFS(E323="H",AW323*AI323-AV323,E323="D",AX323*AJ323-AV323,E323="A",AY323*AK323-AV323)</f>
        <v>7133622.4185333252</v>
      </c>
      <c r="BA323">
        <f t="shared" si="29"/>
        <v>8669909747.8801136</v>
      </c>
    </row>
    <row r="324" spans="1:53" x14ac:dyDescent="0.2">
      <c r="A324">
        <v>6</v>
      </c>
      <c r="B324" t="s">
        <v>67</v>
      </c>
      <c r="C324" s="1">
        <v>44465</v>
      </c>
      <c r="D324" t="s">
        <v>107</v>
      </c>
      <c r="E324" t="s">
        <v>49</v>
      </c>
      <c r="F324" t="s">
        <v>184</v>
      </c>
      <c r="G324" t="s">
        <v>108</v>
      </c>
      <c r="H324">
        <v>32000</v>
      </c>
      <c r="I324" t="s">
        <v>110</v>
      </c>
      <c r="J324" t="s">
        <v>413</v>
      </c>
      <c r="K324" t="s">
        <v>54</v>
      </c>
      <c r="L324">
        <v>2021</v>
      </c>
      <c r="M324">
        <v>2</v>
      </c>
      <c r="N324">
        <v>2.25</v>
      </c>
      <c r="O324">
        <v>1</v>
      </c>
      <c r="P324">
        <v>2.25</v>
      </c>
      <c r="Q324">
        <v>2.62</v>
      </c>
      <c r="R324">
        <v>3.5</v>
      </c>
      <c r="S324">
        <v>2.6</v>
      </c>
      <c r="T324">
        <v>2.65</v>
      </c>
      <c r="U324">
        <v>3.6</v>
      </c>
      <c r="V324">
        <v>2.5499999999999998</v>
      </c>
      <c r="W324">
        <v>2.65</v>
      </c>
      <c r="X324">
        <v>3.4</v>
      </c>
      <c r="Y324">
        <v>2.65</v>
      </c>
      <c r="Z324">
        <v>2.75</v>
      </c>
      <c r="AA324">
        <v>3.54</v>
      </c>
      <c r="AB324">
        <v>2.66</v>
      </c>
      <c r="AC324">
        <v>2.62</v>
      </c>
      <c r="AD324">
        <v>3.5</v>
      </c>
      <c r="AE324">
        <v>2.6</v>
      </c>
      <c r="AF324">
        <v>2.63</v>
      </c>
      <c r="AG324">
        <v>3.4</v>
      </c>
      <c r="AH324">
        <v>2.63</v>
      </c>
      <c r="AI324">
        <v>2.8</v>
      </c>
      <c r="AJ324">
        <v>3.7</v>
      </c>
      <c r="AK324">
        <v>2.75</v>
      </c>
      <c r="AL324">
        <v>2.67</v>
      </c>
      <c r="AM324">
        <v>3.47</v>
      </c>
      <c r="AN324">
        <v>2.63</v>
      </c>
      <c r="AO324">
        <v>1</v>
      </c>
      <c r="AP324">
        <v>0.36036833717017802</v>
      </c>
      <c r="AQ324">
        <v>0.272711174074729</v>
      </c>
      <c r="AR324">
        <v>0.36692048875509098</v>
      </c>
      <c r="AS324">
        <v>1</v>
      </c>
      <c r="AT324">
        <v>9.0313440765008492E-3</v>
      </c>
      <c r="AU324">
        <v>2.1746662176847402</v>
      </c>
      <c r="AV324">
        <f t="shared" si="25"/>
        <v>113997844757.34262</v>
      </c>
      <c r="AW324">
        <f t="shared" si="26"/>
        <v>41081213756.187759</v>
      </c>
      <c r="AX324">
        <f t="shared" si="27"/>
        <v>31088486085.763702</v>
      </c>
      <c r="AY324">
        <f t="shared" si="28"/>
        <v>41828144915.391159</v>
      </c>
      <c r="AZ324" cm="1">
        <f t="array" ref="AZ324">_xlfn.IFS(E324="H",AW324*AI324-AV324,E324="D",AX324*AJ324-AV324,E324="A",AY324*AK324-AV324)</f>
        <v>1029553759.9830933</v>
      </c>
      <c r="BA324">
        <f t="shared" si="29"/>
        <v>9699463507.8632069</v>
      </c>
    </row>
    <row r="325" spans="1:53" x14ac:dyDescent="0.2">
      <c r="A325">
        <v>6</v>
      </c>
      <c r="B325" t="s">
        <v>67</v>
      </c>
      <c r="C325" s="1">
        <v>44465</v>
      </c>
      <c r="D325" t="s">
        <v>48</v>
      </c>
      <c r="E325" t="s">
        <v>49</v>
      </c>
      <c r="F325" t="s">
        <v>303</v>
      </c>
      <c r="G325" t="s">
        <v>141</v>
      </c>
      <c r="H325">
        <v>20000</v>
      </c>
      <c r="I325" t="s">
        <v>304</v>
      </c>
      <c r="J325" t="s">
        <v>317</v>
      </c>
      <c r="K325" t="s">
        <v>54</v>
      </c>
      <c r="L325">
        <v>2021</v>
      </c>
      <c r="M325">
        <v>2.5</v>
      </c>
      <c r="N325">
        <v>2.5</v>
      </c>
      <c r="O325">
        <v>1.25</v>
      </c>
      <c r="P325">
        <v>1.5</v>
      </c>
      <c r="Q325">
        <v>1.25</v>
      </c>
      <c r="R325">
        <v>6</v>
      </c>
      <c r="S325">
        <v>11</v>
      </c>
      <c r="T325">
        <v>1.28</v>
      </c>
      <c r="U325">
        <v>5.75</v>
      </c>
      <c r="V325">
        <v>10.5</v>
      </c>
      <c r="W325">
        <v>1.25</v>
      </c>
      <c r="X325">
        <v>6.25</v>
      </c>
      <c r="Y325">
        <v>11</v>
      </c>
      <c r="Z325">
        <v>1.27</v>
      </c>
      <c r="AA325">
        <v>6.47</v>
      </c>
      <c r="AB325">
        <v>11.91</v>
      </c>
      <c r="AC325">
        <v>1.25</v>
      </c>
      <c r="AD325">
        <v>6</v>
      </c>
      <c r="AE325">
        <v>12</v>
      </c>
      <c r="AF325">
        <v>1.22</v>
      </c>
      <c r="AG325">
        <v>6</v>
      </c>
      <c r="AH325">
        <v>13</v>
      </c>
      <c r="AI325">
        <v>1.3</v>
      </c>
      <c r="AJ325">
        <v>6.6</v>
      </c>
      <c r="AK325">
        <v>13</v>
      </c>
      <c r="AL325">
        <v>1.26</v>
      </c>
      <c r="AM325">
        <v>6.1</v>
      </c>
      <c r="AN325">
        <v>11.56</v>
      </c>
      <c r="AO325">
        <v>1</v>
      </c>
      <c r="AP325">
        <v>0.77102803738317705</v>
      </c>
      <c r="AQ325">
        <v>0.151869158878504</v>
      </c>
      <c r="AR325">
        <v>7.7102803738317696E-2</v>
      </c>
      <c r="AS325">
        <v>1</v>
      </c>
      <c r="AT325">
        <v>2.3364485981307499E-3</v>
      </c>
      <c r="AU325">
        <v>2.1770026662828701</v>
      </c>
      <c r="AV325">
        <f t="shared" si="25"/>
        <v>123697308265.20583</v>
      </c>
      <c r="AW325">
        <f t="shared" si="26"/>
        <v>95374092821.303543</v>
      </c>
      <c r="AX325">
        <f t="shared" si="27"/>
        <v>18785806161.771915</v>
      </c>
      <c r="AY325">
        <f t="shared" si="28"/>
        <v>9537409282.1303558</v>
      </c>
      <c r="AZ325" cm="1">
        <f t="array" ref="AZ325">_xlfn.IFS(E325="H",AW325*AI325-AV325,E325="D",AX325*AJ325-AV325,E325="A",AY325*AK325-AV325)</f>
        <v>289012402.48878479</v>
      </c>
      <c r="BA325">
        <f t="shared" si="29"/>
        <v>9988475910.3519917</v>
      </c>
    </row>
    <row r="326" spans="1:53" x14ac:dyDescent="0.2">
      <c r="A326">
        <v>6</v>
      </c>
      <c r="B326" t="s">
        <v>67</v>
      </c>
      <c r="C326" s="1">
        <v>44465</v>
      </c>
      <c r="D326" t="s">
        <v>125</v>
      </c>
      <c r="E326" t="s">
        <v>74</v>
      </c>
      <c r="F326" t="s">
        <v>152</v>
      </c>
      <c r="G326" t="s">
        <v>404</v>
      </c>
      <c r="H326">
        <v>28002</v>
      </c>
      <c r="I326" t="s">
        <v>154</v>
      </c>
      <c r="J326" t="s">
        <v>251</v>
      </c>
      <c r="K326" t="s">
        <v>54</v>
      </c>
      <c r="L326">
        <v>2021</v>
      </c>
      <c r="M326">
        <v>1.25</v>
      </c>
      <c r="N326">
        <v>1</v>
      </c>
      <c r="O326">
        <v>0.75</v>
      </c>
      <c r="P326">
        <v>0.5</v>
      </c>
      <c r="Q326">
        <v>2.62</v>
      </c>
      <c r="R326">
        <v>3.2</v>
      </c>
      <c r="S326">
        <v>2.8</v>
      </c>
      <c r="T326">
        <v>2.65</v>
      </c>
      <c r="U326">
        <v>3.2</v>
      </c>
      <c r="V326">
        <v>2.75</v>
      </c>
      <c r="W326">
        <v>2.65</v>
      </c>
      <c r="X326">
        <v>3.2</v>
      </c>
      <c r="Y326">
        <v>2.8</v>
      </c>
      <c r="Z326">
        <v>2.7</v>
      </c>
      <c r="AA326">
        <v>3.27</v>
      </c>
      <c r="AB326">
        <v>2.89</v>
      </c>
      <c r="AC326">
        <v>2.62</v>
      </c>
      <c r="AD326">
        <v>3.2</v>
      </c>
      <c r="AE326">
        <v>2.75</v>
      </c>
      <c r="AF326">
        <v>2.6</v>
      </c>
      <c r="AG326">
        <v>3.13</v>
      </c>
      <c r="AH326">
        <v>2.75</v>
      </c>
      <c r="AI326">
        <v>2.78</v>
      </c>
      <c r="AJ326">
        <v>3.38</v>
      </c>
      <c r="AK326">
        <v>2.92</v>
      </c>
      <c r="AL326">
        <v>2.65</v>
      </c>
      <c r="AM326">
        <v>3.24</v>
      </c>
      <c r="AN326">
        <v>2.83</v>
      </c>
      <c r="AO326">
        <v>1</v>
      </c>
      <c r="AP326">
        <v>0.36042010546458397</v>
      </c>
      <c r="AQ326">
        <v>0.29644020508625601</v>
      </c>
      <c r="AR326">
        <v>0.34313968944915901</v>
      </c>
      <c r="AS326">
        <v>1</v>
      </c>
      <c r="AT326">
        <v>1.9678931915452199E-3</v>
      </c>
      <c r="AU326">
        <v>2.17897055947441</v>
      </c>
      <c r="AV326">
        <f t="shared" si="25"/>
        <v>133685784175.55782</v>
      </c>
      <c r="AW326">
        <f t="shared" si="26"/>
        <v>48183044431.67025</v>
      </c>
      <c r="AX326">
        <f t="shared" si="27"/>
        <v>39629841278.119316</v>
      </c>
      <c r="AY326">
        <f t="shared" si="28"/>
        <v>45872898465.76825</v>
      </c>
      <c r="AZ326" cm="1">
        <f t="array" ref="AZ326">_xlfn.IFS(E326="H",AW326*AI326-AV326,E326="D",AX326*AJ326-AV326,E326="A",AY326*AK326-AV326)</f>
        <v>263079344.48547363</v>
      </c>
      <c r="BA326">
        <f t="shared" si="29"/>
        <v>10251555254.837465</v>
      </c>
    </row>
    <row r="327" spans="1:53" x14ac:dyDescent="0.2">
      <c r="A327">
        <v>7</v>
      </c>
      <c r="B327" t="s">
        <v>67</v>
      </c>
      <c r="C327" s="1">
        <v>44465</v>
      </c>
      <c r="D327" t="s">
        <v>190</v>
      </c>
      <c r="E327" t="s">
        <v>49</v>
      </c>
      <c r="F327" t="s">
        <v>158</v>
      </c>
      <c r="G327" t="s">
        <v>384</v>
      </c>
      <c r="H327">
        <v>23941</v>
      </c>
      <c r="I327" t="s">
        <v>266</v>
      </c>
      <c r="J327" t="s">
        <v>267</v>
      </c>
      <c r="K327" t="s">
        <v>54</v>
      </c>
      <c r="L327">
        <v>2021</v>
      </c>
      <c r="M327">
        <v>2.5</v>
      </c>
      <c r="N327">
        <v>1.5</v>
      </c>
      <c r="O327">
        <v>1.5</v>
      </c>
      <c r="P327">
        <v>1.25</v>
      </c>
      <c r="Q327">
        <v>1.4</v>
      </c>
      <c r="R327">
        <v>4.5</v>
      </c>
      <c r="S327">
        <v>9</v>
      </c>
      <c r="T327">
        <v>1.4</v>
      </c>
      <c r="U327">
        <v>4.5999999999999996</v>
      </c>
      <c r="V327">
        <v>8.5</v>
      </c>
      <c r="W327">
        <v>1.45</v>
      </c>
      <c r="X327">
        <v>4.3</v>
      </c>
      <c r="Y327">
        <v>7.5</v>
      </c>
      <c r="Z327">
        <v>1.47</v>
      </c>
      <c r="AA327">
        <v>4.43</v>
      </c>
      <c r="AB327">
        <v>8.5299999999999994</v>
      </c>
      <c r="AC327">
        <v>1.42</v>
      </c>
      <c r="AD327">
        <v>4.2</v>
      </c>
      <c r="AE327">
        <v>8.5</v>
      </c>
      <c r="AF327">
        <v>1.4</v>
      </c>
      <c r="AG327">
        <v>4.2</v>
      </c>
      <c r="AH327">
        <v>8</v>
      </c>
      <c r="AI327">
        <v>1.48</v>
      </c>
      <c r="AJ327">
        <v>4.75</v>
      </c>
      <c r="AK327">
        <v>9.25</v>
      </c>
      <c r="AL327">
        <v>1.44</v>
      </c>
      <c r="AM327">
        <v>4.42</v>
      </c>
      <c r="AN327">
        <v>8.2200000000000006</v>
      </c>
      <c r="AO327">
        <v>1</v>
      </c>
      <c r="AP327">
        <v>0.67954220314735303</v>
      </c>
      <c r="AQ327">
        <v>0.21173104434907</v>
      </c>
      <c r="AR327">
        <v>0.108726752503576</v>
      </c>
      <c r="AS327">
        <v>1</v>
      </c>
      <c r="AT327">
        <v>5.7224606580832298E-3</v>
      </c>
      <c r="AU327">
        <v>2.1846930201324999</v>
      </c>
      <c r="AV327">
        <f t="shared" si="25"/>
        <v>143937339430.39529</v>
      </c>
      <c r="AW327">
        <f t="shared" si="26"/>
        <v>97811496751.699249</v>
      </c>
      <c r="AX327">
        <f t="shared" si="27"/>
        <v>30476003198.424183</v>
      </c>
      <c r="AY327">
        <f t="shared" si="28"/>
        <v>15649839480.271877</v>
      </c>
      <c r="AZ327" cm="1">
        <f t="array" ref="AZ327">_xlfn.IFS(E327="H",AW327*AI327-AV327,E327="D",AX327*AJ327-AV327,E327="A",AY327*AK327-AV327)</f>
        <v>823675762.11959839</v>
      </c>
      <c r="BA327">
        <f t="shared" si="29"/>
        <v>11075231016.957064</v>
      </c>
    </row>
    <row r="328" spans="1:53" x14ac:dyDescent="0.2">
      <c r="A328">
        <v>6</v>
      </c>
      <c r="B328" t="s">
        <v>198</v>
      </c>
      <c r="C328" s="1">
        <v>44466</v>
      </c>
      <c r="D328" t="s">
        <v>151</v>
      </c>
      <c r="E328" t="s">
        <v>57</v>
      </c>
      <c r="F328" t="s">
        <v>281</v>
      </c>
      <c r="G328" t="s">
        <v>284</v>
      </c>
      <c r="H328">
        <v>22975</v>
      </c>
      <c r="I328" t="s">
        <v>282</v>
      </c>
      <c r="J328" t="s">
        <v>155</v>
      </c>
      <c r="K328" t="s">
        <v>54</v>
      </c>
      <c r="L328">
        <v>2021</v>
      </c>
      <c r="M328">
        <v>1.75</v>
      </c>
      <c r="N328">
        <v>1.75</v>
      </c>
      <c r="O328">
        <v>1.5</v>
      </c>
      <c r="P328">
        <v>1</v>
      </c>
      <c r="Q328">
        <v>3.1</v>
      </c>
      <c r="R328">
        <v>3.2</v>
      </c>
      <c r="S328">
        <v>2.4500000000000002</v>
      </c>
      <c r="T328">
        <v>2.95</v>
      </c>
      <c r="U328">
        <v>3.2</v>
      </c>
      <c r="V328">
        <v>2.5</v>
      </c>
      <c r="W328">
        <v>3</v>
      </c>
      <c r="X328">
        <v>3.15</v>
      </c>
      <c r="Y328">
        <v>2.5</v>
      </c>
      <c r="Z328">
        <v>3.14</v>
      </c>
      <c r="AA328">
        <v>3.21</v>
      </c>
      <c r="AB328">
        <v>2.56</v>
      </c>
      <c r="AC328">
        <v>3.1</v>
      </c>
      <c r="AD328">
        <v>3</v>
      </c>
      <c r="AE328">
        <v>2.5</v>
      </c>
      <c r="AF328">
        <v>2.9</v>
      </c>
      <c r="AG328">
        <v>3</v>
      </c>
      <c r="AH328">
        <v>2.5</v>
      </c>
      <c r="AI328">
        <v>3.16</v>
      </c>
      <c r="AJ328">
        <v>3.25</v>
      </c>
      <c r="AK328">
        <v>2.67</v>
      </c>
      <c r="AL328">
        <v>3.04</v>
      </c>
      <c r="AM328">
        <v>3.15</v>
      </c>
      <c r="AN328">
        <v>2.54</v>
      </c>
      <c r="AO328">
        <v>1</v>
      </c>
      <c r="AP328">
        <v>0.31687402089487898</v>
      </c>
      <c r="AQ328">
        <v>0.30809904800855897</v>
      </c>
      <c r="AR328">
        <v>0.37502693109656099</v>
      </c>
      <c r="AS328">
        <v>1</v>
      </c>
      <c r="AT328">
        <v>1.3219060278184501E-3</v>
      </c>
      <c r="AU328">
        <v>2.1860149261603201</v>
      </c>
      <c r="AV328">
        <f t="shared" si="25"/>
        <v>155012570447.35236</v>
      </c>
      <c r="AW328">
        <f t="shared" si="26"/>
        <v>49119456486.903275</v>
      </c>
      <c r="AX328">
        <f t="shared" si="27"/>
        <v>47759225384.189034</v>
      </c>
      <c r="AY328">
        <f t="shared" si="28"/>
        <v>58133888576.260056</v>
      </c>
      <c r="AZ328" cm="1">
        <f t="array" ref="AZ328">_xlfn.IFS(E328="H",AW328*AI328-AV328,E328="D",AX328*AJ328-AV328,E328="A",AY328*AK328-AV328)</f>
        <v>204912051.26199341</v>
      </c>
      <c r="BA328">
        <f t="shared" si="29"/>
        <v>11280143068.219057</v>
      </c>
    </row>
    <row r="329" spans="1:53" x14ac:dyDescent="0.2">
      <c r="A329">
        <v>7</v>
      </c>
      <c r="B329" t="s">
        <v>198</v>
      </c>
      <c r="C329" s="1">
        <v>44466</v>
      </c>
      <c r="D329" t="s">
        <v>68</v>
      </c>
      <c r="E329" t="s">
        <v>49</v>
      </c>
      <c r="F329" t="s">
        <v>157</v>
      </c>
      <c r="G329" t="s">
        <v>287</v>
      </c>
      <c r="H329">
        <v>6375</v>
      </c>
      <c r="I329" t="s">
        <v>159</v>
      </c>
      <c r="J329" t="s">
        <v>349</v>
      </c>
      <c r="K329" t="s">
        <v>54</v>
      </c>
      <c r="L329">
        <v>2021</v>
      </c>
      <c r="M329">
        <v>0</v>
      </c>
      <c r="N329">
        <v>1</v>
      </c>
      <c r="O329">
        <v>0.5</v>
      </c>
      <c r="P329">
        <v>0.75</v>
      </c>
      <c r="Q329">
        <v>1.61</v>
      </c>
      <c r="R329">
        <v>4</v>
      </c>
      <c r="S329">
        <v>5.5</v>
      </c>
      <c r="T329">
        <v>1.6</v>
      </c>
      <c r="U329">
        <v>4.0999999999999996</v>
      </c>
      <c r="V329">
        <v>5.5</v>
      </c>
      <c r="W329">
        <v>1.63</v>
      </c>
      <c r="X329">
        <v>4</v>
      </c>
      <c r="Y329">
        <v>5.25</v>
      </c>
      <c r="Z329">
        <v>1.65</v>
      </c>
      <c r="AA329">
        <v>4.1900000000000004</v>
      </c>
      <c r="AB329">
        <v>5.54</v>
      </c>
      <c r="AC329">
        <v>1.65</v>
      </c>
      <c r="AD329">
        <v>3.8</v>
      </c>
      <c r="AE329">
        <v>5.25</v>
      </c>
      <c r="AF329">
        <v>1.62</v>
      </c>
      <c r="AG329">
        <v>3.9</v>
      </c>
      <c r="AH329">
        <v>5</v>
      </c>
      <c r="AI329">
        <v>1.72</v>
      </c>
      <c r="AJ329">
        <v>4.2</v>
      </c>
      <c r="AK329">
        <v>5.64</v>
      </c>
      <c r="AL329">
        <v>1.65</v>
      </c>
      <c r="AM329">
        <v>4.0199999999999996</v>
      </c>
      <c r="AN329">
        <v>5.24</v>
      </c>
      <c r="AO329">
        <v>1</v>
      </c>
      <c r="AP329">
        <v>0.58326438955206195</v>
      </c>
      <c r="AQ329">
        <v>0.238860654768939</v>
      </c>
      <c r="AR329">
        <v>0.177874955678997</v>
      </c>
      <c r="AS329">
        <v>1</v>
      </c>
      <c r="AT329">
        <v>3.21475002954718E-3</v>
      </c>
      <c r="AU329">
        <v>2.1892296761898602</v>
      </c>
      <c r="AV329">
        <f t="shared" si="25"/>
        <v>166292713515.57141</v>
      </c>
      <c r="AW329">
        <f t="shared" si="26"/>
        <v>96992618035.615753</v>
      </c>
      <c r="AX329">
        <f t="shared" si="27"/>
        <v>39720786433.63311</v>
      </c>
      <c r="AY329">
        <f t="shared" si="28"/>
        <v>29579309046.322536</v>
      </c>
      <c r="AZ329" cm="1">
        <f t="array" ref="AZ329">_xlfn.IFS(E329="H",AW329*AI329-AV329,E329="D",AX329*AJ329-AV329,E329="A",AY329*AK329-AV329)</f>
        <v>534589505.68768311</v>
      </c>
      <c r="BA329">
        <f t="shared" si="29"/>
        <v>11814732573.90674</v>
      </c>
    </row>
    <row r="330" spans="1:53" x14ac:dyDescent="0.2">
      <c r="A330">
        <v>7</v>
      </c>
      <c r="B330" t="s">
        <v>47</v>
      </c>
      <c r="C330" s="1">
        <v>44470</v>
      </c>
      <c r="D330" t="s">
        <v>199</v>
      </c>
      <c r="E330" t="s">
        <v>49</v>
      </c>
      <c r="F330" t="s">
        <v>223</v>
      </c>
      <c r="G330" t="s">
        <v>429</v>
      </c>
      <c r="H330">
        <v>40000</v>
      </c>
      <c r="I330" t="s">
        <v>224</v>
      </c>
      <c r="J330" t="s">
        <v>422</v>
      </c>
      <c r="K330" t="s">
        <v>54</v>
      </c>
      <c r="L330">
        <v>2021</v>
      </c>
      <c r="M330">
        <v>2.5</v>
      </c>
      <c r="N330">
        <v>1.75</v>
      </c>
      <c r="O330">
        <v>0</v>
      </c>
      <c r="P330">
        <v>0.66666666666666596</v>
      </c>
      <c r="Q330">
        <v>1.4</v>
      </c>
      <c r="R330">
        <v>5</v>
      </c>
      <c r="S330">
        <v>7</v>
      </c>
      <c r="T330">
        <v>1.44</v>
      </c>
      <c r="U330">
        <v>4.75</v>
      </c>
      <c r="V330">
        <v>7</v>
      </c>
      <c r="W330">
        <v>1.5</v>
      </c>
      <c r="X330">
        <v>4.5999999999999996</v>
      </c>
      <c r="Y330">
        <v>6.25</v>
      </c>
      <c r="Z330">
        <v>1.46</v>
      </c>
      <c r="AA330">
        <v>4.8899999999999997</v>
      </c>
      <c r="AB330">
        <v>7.3</v>
      </c>
      <c r="AC330">
        <v>1.44</v>
      </c>
      <c r="AD330">
        <v>4.5999999999999996</v>
      </c>
      <c r="AE330">
        <v>6.5</v>
      </c>
      <c r="AF330">
        <v>1.44</v>
      </c>
      <c r="AG330">
        <v>5</v>
      </c>
      <c r="AH330">
        <v>6.5</v>
      </c>
      <c r="AI330">
        <v>1.53</v>
      </c>
      <c r="AJ330">
        <v>5</v>
      </c>
      <c r="AK330">
        <v>7.61</v>
      </c>
      <c r="AL330">
        <v>1.46</v>
      </c>
      <c r="AM330">
        <v>4.83</v>
      </c>
      <c r="AN330">
        <v>6.76</v>
      </c>
      <c r="AO330">
        <v>1</v>
      </c>
      <c r="AP330">
        <v>0.66354744146221001</v>
      </c>
      <c r="AQ330">
        <v>0.20304551708743601</v>
      </c>
      <c r="AR330">
        <v>0.13340704145035201</v>
      </c>
      <c r="AS330">
        <v>1</v>
      </c>
      <c r="AT330">
        <v>1.5227585437182599E-2</v>
      </c>
      <c r="AU330">
        <v>2.2044572616270401</v>
      </c>
      <c r="AV330">
        <f t="shared" ref="AV330:AV393" si="30">AV329+BA329</f>
        <v>178107446089.47815</v>
      </c>
      <c r="AW330">
        <f t="shared" ref="AW330:AW393" si="31">AV330/(1+AI330/AJ330+AI330/AK330)</f>
        <v>118182740158.04189</v>
      </c>
      <c r="AX330">
        <f t="shared" ref="AX330:AX393" si="32">AV330/(1+AJ330/AI330+AJ330/AK330)</f>
        <v>36163918488.360817</v>
      </c>
      <c r="AY330">
        <f t="shared" ref="AY330:AY393" si="33">AV330/(1+AK330/AI330+AK330/AJ330)</f>
        <v>23760787443.075439</v>
      </c>
      <c r="AZ330" cm="1">
        <f t="array" ref="AZ330">_xlfn.IFS(E330="H",AW330*AI330-AV330,E330="D",AX330*AJ330-AV330,E330="A",AY330*AK330-AV330)</f>
        <v>2712146352.3259277</v>
      </c>
      <c r="BA330">
        <f t="shared" ref="BA330:BA393" si="34">AZ330+BA329</f>
        <v>14526878926.232668</v>
      </c>
    </row>
    <row r="331" spans="1:53" x14ac:dyDescent="0.2">
      <c r="A331">
        <v>9</v>
      </c>
      <c r="B331" t="s">
        <v>47</v>
      </c>
      <c r="C331" s="1">
        <v>44470</v>
      </c>
      <c r="D331" t="s">
        <v>68</v>
      </c>
      <c r="E331" t="s">
        <v>49</v>
      </c>
      <c r="F331" t="s">
        <v>337</v>
      </c>
      <c r="G331" t="s">
        <v>216</v>
      </c>
      <c r="H331" t="s">
        <v>256</v>
      </c>
      <c r="I331" t="s">
        <v>338</v>
      </c>
      <c r="J331" t="s">
        <v>61</v>
      </c>
      <c r="K331" t="s">
        <v>54</v>
      </c>
      <c r="L331">
        <v>2021</v>
      </c>
      <c r="M331">
        <v>1.25</v>
      </c>
      <c r="N331">
        <v>1.25</v>
      </c>
      <c r="O331">
        <v>1.25</v>
      </c>
      <c r="P331">
        <v>1</v>
      </c>
      <c r="Q331">
        <v>1.72</v>
      </c>
      <c r="R331">
        <v>3.5</v>
      </c>
      <c r="S331">
        <v>5</v>
      </c>
      <c r="T331">
        <v>1.75</v>
      </c>
      <c r="U331">
        <v>3.6</v>
      </c>
      <c r="V331">
        <v>5</v>
      </c>
      <c r="W331">
        <v>1.77</v>
      </c>
      <c r="X331">
        <v>3.55</v>
      </c>
      <c r="Y331">
        <v>4.8</v>
      </c>
      <c r="Z331">
        <v>1.81</v>
      </c>
      <c r="AA331">
        <v>3.56</v>
      </c>
      <c r="AB331">
        <v>5.2</v>
      </c>
      <c r="AC331">
        <v>1.75</v>
      </c>
      <c r="AD331">
        <v>3.5</v>
      </c>
      <c r="AE331">
        <v>4.5999999999999996</v>
      </c>
      <c r="AF331">
        <v>1.75</v>
      </c>
      <c r="AG331">
        <v>3.7</v>
      </c>
      <c r="AH331">
        <v>4.8</v>
      </c>
      <c r="AI331">
        <v>1.88</v>
      </c>
      <c r="AJ331">
        <v>3.92</v>
      </c>
      <c r="AK331">
        <v>5.2</v>
      </c>
      <c r="AL331">
        <v>1.79</v>
      </c>
      <c r="AM331">
        <v>3.58</v>
      </c>
      <c r="AN331">
        <v>4.82</v>
      </c>
      <c r="AO331">
        <v>1</v>
      </c>
      <c r="AP331">
        <v>0.54314461118690305</v>
      </c>
      <c r="AQ331">
        <v>0.260487721691678</v>
      </c>
      <c r="AR331">
        <v>0.19636766712141801</v>
      </c>
      <c r="AS331">
        <v>1</v>
      </c>
      <c r="AT331">
        <v>2.1111869031377802E-2</v>
      </c>
      <c r="AU331">
        <v>2.2255691306584202</v>
      </c>
      <c r="AV331">
        <f t="shared" si="30"/>
        <v>192634325015.71082</v>
      </c>
      <c r="AW331">
        <f t="shared" si="31"/>
        <v>104628295561.90977</v>
      </c>
      <c r="AX331">
        <f t="shared" si="32"/>
        <v>50178876442.956726</v>
      </c>
      <c r="AY331">
        <f t="shared" si="33"/>
        <v>37827153010.844307</v>
      </c>
      <c r="AZ331" cm="1">
        <f t="array" ref="AZ331">_xlfn.IFS(E331="H",AW331*AI331-AV331,E331="D",AX331*AJ331-AV331,E331="A",AY331*AK331-AV331)</f>
        <v>4066870640.6795349</v>
      </c>
      <c r="BA331">
        <f t="shared" si="34"/>
        <v>18593749566.912201</v>
      </c>
    </row>
    <row r="332" spans="1:53" x14ac:dyDescent="0.2">
      <c r="A332">
        <v>7</v>
      </c>
      <c r="B332" t="s">
        <v>67</v>
      </c>
      <c r="C332" s="1">
        <v>44472</v>
      </c>
      <c r="D332" t="s">
        <v>183</v>
      </c>
      <c r="E332" t="s">
        <v>57</v>
      </c>
      <c r="F332" t="s">
        <v>278</v>
      </c>
      <c r="G332" t="s">
        <v>314</v>
      </c>
      <c r="H332">
        <v>4292</v>
      </c>
      <c r="I332" t="s">
        <v>275</v>
      </c>
      <c r="J332" t="s">
        <v>277</v>
      </c>
      <c r="K332" t="s">
        <v>54</v>
      </c>
      <c r="L332">
        <v>2021</v>
      </c>
      <c r="M332">
        <v>1</v>
      </c>
      <c r="N332">
        <v>1.25</v>
      </c>
      <c r="O332">
        <v>0.75</v>
      </c>
      <c r="P332">
        <v>0.75</v>
      </c>
      <c r="Q332">
        <v>2.1</v>
      </c>
      <c r="R332">
        <v>3.5</v>
      </c>
      <c r="S332">
        <v>3.5</v>
      </c>
      <c r="T332">
        <v>2.15</v>
      </c>
      <c r="U332">
        <v>3.3</v>
      </c>
      <c r="V332">
        <v>3.6</v>
      </c>
      <c r="W332">
        <v>2.2000000000000002</v>
      </c>
      <c r="X332">
        <v>3.3</v>
      </c>
      <c r="Y332">
        <v>3.45</v>
      </c>
      <c r="Z332">
        <v>2.2200000000000002</v>
      </c>
      <c r="AA332">
        <v>3.37</v>
      </c>
      <c r="AB332">
        <v>3.62</v>
      </c>
      <c r="AC332">
        <v>2.15</v>
      </c>
      <c r="AD332">
        <v>3.4</v>
      </c>
      <c r="AE332">
        <v>3.5</v>
      </c>
      <c r="AF332">
        <v>2.1</v>
      </c>
      <c r="AG332">
        <v>3.3</v>
      </c>
      <c r="AH332">
        <v>3.5</v>
      </c>
      <c r="AI332">
        <v>2.25</v>
      </c>
      <c r="AJ332">
        <v>3.63</v>
      </c>
      <c r="AK332">
        <v>3.64</v>
      </c>
      <c r="AL332">
        <v>2.1800000000000002</v>
      </c>
      <c r="AM332">
        <v>3.36</v>
      </c>
      <c r="AN332">
        <v>3.49</v>
      </c>
      <c r="AO332">
        <v>1</v>
      </c>
      <c r="AP332">
        <v>0.44683419736428198</v>
      </c>
      <c r="AQ332">
        <v>0.27696334547372897</v>
      </c>
      <c r="AR332">
        <v>0.27620245716198799</v>
      </c>
      <c r="AS332">
        <v>1</v>
      </c>
      <c r="AT332">
        <v>5.3769440696365099E-3</v>
      </c>
      <c r="AU332">
        <v>2.2309460747280601</v>
      </c>
      <c r="AV332">
        <f t="shared" si="30"/>
        <v>211228074582.62302</v>
      </c>
      <c r="AW332">
        <f t="shared" si="31"/>
        <v>94383927166.929245</v>
      </c>
      <c r="AX332">
        <f t="shared" si="32"/>
        <v>58502434194.377625</v>
      </c>
      <c r="AY332">
        <f t="shared" si="33"/>
        <v>58341713221.316154</v>
      </c>
      <c r="AZ332" cm="1">
        <f t="array" ref="AZ332">_xlfn.IFS(E332="H",AW332*AI332-AV332,E332="D",AX332*AJ332-AV332,E332="A",AY332*AK332-AV332)</f>
        <v>1135761542.9677429</v>
      </c>
      <c r="BA332">
        <f t="shared" si="34"/>
        <v>19729511109.879944</v>
      </c>
    </row>
    <row r="333" spans="1:53" x14ac:dyDescent="0.2">
      <c r="A333">
        <v>8</v>
      </c>
      <c r="B333" t="s">
        <v>67</v>
      </c>
      <c r="C333" s="1">
        <v>44472</v>
      </c>
      <c r="D333" t="s">
        <v>68</v>
      </c>
      <c r="E333" t="s">
        <v>49</v>
      </c>
      <c r="F333" t="s">
        <v>287</v>
      </c>
      <c r="G333" t="s">
        <v>161</v>
      </c>
      <c r="H333">
        <v>12334</v>
      </c>
      <c r="I333" t="s">
        <v>312</v>
      </c>
      <c r="J333" t="s">
        <v>168</v>
      </c>
      <c r="K333" t="s">
        <v>54</v>
      </c>
      <c r="L333">
        <v>2021</v>
      </c>
      <c r="M333">
        <v>0.5</v>
      </c>
      <c r="N333">
        <v>1</v>
      </c>
      <c r="O333">
        <v>1.25</v>
      </c>
      <c r="P333">
        <v>0.5</v>
      </c>
      <c r="Q333">
        <v>4.8</v>
      </c>
      <c r="R333">
        <v>3.4</v>
      </c>
      <c r="S333">
        <v>1.72</v>
      </c>
      <c r="T333">
        <v>4.75</v>
      </c>
      <c r="U333">
        <v>3.5</v>
      </c>
      <c r="V333">
        <v>1.8</v>
      </c>
      <c r="W333">
        <v>4.9000000000000004</v>
      </c>
      <c r="X333">
        <v>3.55</v>
      </c>
      <c r="Y333">
        <v>1.77</v>
      </c>
      <c r="Z333">
        <v>5.36</v>
      </c>
      <c r="AA333">
        <v>3.62</v>
      </c>
      <c r="AB333">
        <v>1.78</v>
      </c>
      <c r="AC333">
        <v>5</v>
      </c>
      <c r="AD333">
        <v>3.4</v>
      </c>
      <c r="AE333">
        <v>1.78</v>
      </c>
      <c r="AF333">
        <v>4.75</v>
      </c>
      <c r="AG333">
        <v>3.5</v>
      </c>
      <c r="AH333">
        <v>1.73</v>
      </c>
      <c r="AI333">
        <v>5.4</v>
      </c>
      <c r="AJ333">
        <v>3.64</v>
      </c>
      <c r="AK333">
        <v>1.86</v>
      </c>
      <c r="AL333">
        <v>4.97</v>
      </c>
      <c r="AM333">
        <v>3.53</v>
      </c>
      <c r="AN333">
        <v>1.78</v>
      </c>
      <c r="AO333">
        <v>1</v>
      </c>
      <c r="AP333">
        <v>0.18564095814688</v>
      </c>
      <c r="AQ333">
        <v>0.275401421426691</v>
      </c>
      <c r="AR333">
        <v>0.53895762042642803</v>
      </c>
      <c r="AS333">
        <v>1</v>
      </c>
      <c r="AT333">
        <v>2.4611739931561499E-3</v>
      </c>
      <c r="AU333">
        <v>2.2334072487212202</v>
      </c>
      <c r="AV333">
        <f t="shared" si="30"/>
        <v>230957585692.50296</v>
      </c>
      <c r="AW333">
        <f t="shared" si="31"/>
        <v>42875187499.246567</v>
      </c>
      <c r="AX333">
        <f t="shared" si="32"/>
        <v>63606047388.992165</v>
      </c>
      <c r="AY333">
        <f t="shared" si="33"/>
        <v>124476350804.26422</v>
      </c>
      <c r="AZ333" cm="1">
        <f t="array" ref="AZ333">_xlfn.IFS(E333="H",AW333*AI333-AV333,E333="D",AX333*AJ333-AV333,E333="A",AY333*AK333-AV333)</f>
        <v>568426803.42852783</v>
      </c>
      <c r="BA333">
        <f t="shared" si="34"/>
        <v>20297937913.308472</v>
      </c>
    </row>
    <row r="334" spans="1:53" x14ac:dyDescent="0.2">
      <c r="A334">
        <v>9</v>
      </c>
      <c r="B334" t="s">
        <v>67</v>
      </c>
      <c r="C334" s="1">
        <v>44472</v>
      </c>
      <c r="D334" t="s">
        <v>329</v>
      </c>
      <c r="E334" t="s">
        <v>49</v>
      </c>
      <c r="F334" t="s">
        <v>69</v>
      </c>
      <c r="G334" t="s">
        <v>70</v>
      </c>
      <c r="H334">
        <v>28092</v>
      </c>
      <c r="I334" t="s">
        <v>71</v>
      </c>
      <c r="J334" t="s">
        <v>85</v>
      </c>
      <c r="K334" t="s">
        <v>54</v>
      </c>
      <c r="L334">
        <v>2021</v>
      </c>
      <c r="M334">
        <v>1.75</v>
      </c>
      <c r="N334">
        <v>2</v>
      </c>
      <c r="O334">
        <v>3</v>
      </c>
      <c r="P334">
        <v>2.5</v>
      </c>
      <c r="Q334">
        <v>5.5</v>
      </c>
      <c r="R334">
        <v>4.5</v>
      </c>
      <c r="S334">
        <v>1.55</v>
      </c>
      <c r="T334">
        <v>5</v>
      </c>
      <c r="U334">
        <v>4.5999999999999996</v>
      </c>
      <c r="V334">
        <v>1.57</v>
      </c>
      <c r="W334">
        <v>5.75</v>
      </c>
      <c r="X334">
        <v>4.5</v>
      </c>
      <c r="Y334">
        <v>1.53</v>
      </c>
      <c r="Z334">
        <v>5.67</v>
      </c>
      <c r="AA334">
        <v>4.8499999999999996</v>
      </c>
      <c r="AB334">
        <v>1.56</v>
      </c>
      <c r="AC334">
        <v>5.25</v>
      </c>
      <c r="AD334">
        <v>4.33</v>
      </c>
      <c r="AE334">
        <v>1.53</v>
      </c>
      <c r="AF334">
        <v>5.75</v>
      </c>
      <c r="AG334">
        <v>4.33</v>
      </c>
      <c r="AH334">
        <v>1.53</v>
      </c>
      <c r="AI334">
        <v>5.75</v>
      </c>
      <c r="AJ334">
        <v>4.9000000000000004</v>
      </c>
      <c r="AK334">
        <v>1.61</v>
      </c>
      <c r="AL334">
        <v>5.41</v>
      </c>
      <c r="AM334">
        <v>4.55</v>
      </c>
      <c r="AN334">
        <v>1.56</v>
      </c>
      <c r="AO334">
        <v>1</v>
      </c>
      <c r="AP334">
        <v>0.17406749555950199</v>
      </c>
      <c r="AQ334">
        <v>0.20426287744227301</v>
      </c>
      <c r="AR334">
        <v>0.62166962699822303</v>
      </c>
      <c r="AS334">
        <v>1</v>
      </c>
      <c r="AT334" s="2">
        <v>8.8809946714052401E-4</v>
      </c>
      <c r="AU334">
        <v>2.2342953481883598</v>
      </c>
      <c r="AV334">
        <f t="shared" si="30"/>
        <v>251255523605.81143</v>
      </c>
      <c r="AW334">
        <f t="shared" si="31"/>
        <v>43735419739.555099</v>
      </c>
      <c r="AX334">
        <f t="shared" si="32"/>
        <v>51322176224.988121</v>
      </c>
      <c r="AY334">
        <f t="shared" si="33"/>
        <v>156197927641.26822</v>
      </c>
      <c r="AZ334" cm="1">
        <f t="array" ref="AZ334">_xlfn.IFS(E334="H",AW334*AI334-AV334,E334="D",AX334*AJ334-AV334,E334="A",AY334*AK334-AV334)</f>
        <v>223139896.63040161</v>
      </c>
      <c r="BA334">
        <f t="shared" si="34"/>
        <v>20521077809.938873</v>
      </c>
    </row>
    <row r="335" spans="1:53" x14ac:dyDescent="0.2">
      <c r="A335">
        <v>8</v>
      </c>
      <c r="B335" t="s">
        <v>55</v>
      </c>
      <c r="C335" s="1">
        <v>44485</v>
      </c>
      <c r="D335" t="s">
        <v>73</v>
      </c>
      <c r="E335" t="s">
        <v>49</v>
      </c>
      <c r="F335" t="s">
        <v>255</v>
      </c>
      <c r="G335" t="s">
        <v>261</v>
      </c>
      <c r="H335">
        <v>11000</v>
      </c>
      <c r="I335" t="s">
        <v>343</v>
      </c>
      <c r="J335" t="s">
        <v>336</v>
      </c>
      <c r="K335" t="s">
        <v>54</v>
      </c>
      <c r="L335">
        <v>2021</v>
      </c>
      <c r="M335">
        <v>2</v>
      </c>
      <c r="N335">
        <v>1</v>
      </c>
      <c r="O335">
        <v>1.75</v>
      </c>
      <c r="P335">
        <v>1.75</v>
      </c>
      <c r="Q335">
        <v>2.7</v>
      </c>
      <c r="R335">
        <v>3.25</v>
      </c>
      <c r="S335">
        <v>2.7</v>
      </c>
      <c r="T335">
        <v>2.65</v>
      </c>
      <c r="U335">
        <v>3.3</v>
      </c>
      <c r="V335">
        <v>2.65</v>
      </c>
      <c r="W335">
        <v>2.7</v>
      </c>
      <c r="X335">
        <v>3.2</v>
      </c>
      <c r="Y335">
        <v>2.75</v>
      </c>
      <c r="Z335">
        <v>2.75</v>
      </c>
      <c r="AA335">
        <v>3.25</v>
      </c>
      <c r="AB335">
        <v>2.85</v>
      </c>
      <c r="AC335">
        <v>2.7</v>
      </c>
      <c r="AD335">
        <v>3.1</v>
      </c>
      <c r="AE335">
        <v>2.7</v>
      </c>
      <c r="AF335">
        <v>2.63</v>
      </c>
      <c r="AG335">
        <v>3.2</v>
      </c>
      <c r="AH335">
        <v>2.7</v>
      </c>
      <c r="AI335">
        <v>2.9</v>
      </c>
      <c r="AJ335">
        <v>3.32</v>
      </c>
      <c r="AK335">
        <v>2.86</v>
      </c>
      <c r="AL335">
        <v>2.73</v>
      </c>
      <c r="AM335">
        <v>3.19</v>
      </c>
      <c r="AN335">
        <v>2.73</v>
      </c>
      <c r="AO335">
        <v>1</v>
      </c>
      <c r="AP335">
        <v>0.34632274630523902</v>
      </c>
      <c r="AQ335">
        <v>0.30251083261602202</v>
      </c>
      <c r="AR335">
        <v>0.35116642107873802</v>
      </c>
      <c r="AS335">
        <v>1</v>
      </c>
      <c r="AT335">
        <v>4.33596428519322E-3</v>
      </c>
      <c r="AU335">
        <v>2.23863131247355</v>
      </c>
      <c r="AV335">
        <f t="shared" si="30"/>
        <v>271776601415.75031</v>
      </c>
      <c r="AW335">
        <f t="shared" si="31"/>
        <v>94122418983.806961</v>
      </c>
      <c r="AX335">
        <f t="shared" si="32"/>
        <v>82215365979.83139</v>
      </c>
      <c r="AY335">
        <f t="shared" si="33"/>
        <v>95438816452.111954</v>
      </c>
      <c r="AZ335" cm="1">
        <f t="array" ref="AZ335">_xlfn.IFS(E335="H",AW335*AI335-AV335,E335="D",AX335*AJ335-AV335,E335="A",AY335*AK335-AV335)</f>
        <v>1178413637.2898865</v>
      </c>
      <c r="BA335">
        <f t="shared" si="34"/>
        <v>21699491447.22876</v>
      </c>
    </row>
    <row r="336" spans="1:53" x14ac:dyDescent="0.2">
      <c r="A336">
        <v>9</v>
      </c>
      <c r="B336" t="s">
        <v>67</v>
      </c>
      <c r="C336" s="1">
        <v>44486</v>
      </c>
      <c r="D336" t="s">
        <v>68</v>
      </c>
      <c r="E336" t="s">
        <v>49</v>
      </c>
      <c r="F336" t="s">
        <v>87</v>
      </c>
      <c r="G336" t="s">
        <v>353</v>
      </c>
      <c r="H336">
        <v>47317</v>
      </c>
      <c r="I336" t="s">
        <v>167</v>
      </c>
      <c r="J336" t="s">
        <v>302</v>
      </c>
      <c r="K336" t="s">
        <v>54</v>
      </c>
      <c r="L336">
        <v>2021</v>
      </c>
      <c r="M336">
        <v>2.5</v>
      </c>
      <c r="N336">
        <v>2.5</v>
      </c>
      <c r="O336">
        <v>1.25</v>
      </c>
      <c r="P336">
        <v>1.5</v>
      </c>
      <c r="Q336">
        <v>1.5</v>
      </c>
      <c r="R336">
        <v>4.33</v>
      </c>
      <c r="S336">
        <v>6.5</v>
      </c>
      <c r="T336">
        <v>1.5</v>
      </c>
      <c r="U336">
        <v>4.2</v>
      </c>
      <c r="V336">
        <v>6.75</v>
      </c>
      <c r="W336">
        <v>1.55</v>
      </c>
      <c r="X336">
        <v>4.3</v>
      </c>
      <c r="Y336">
        <v>5.75</v>
      </c>
      <c r="Z336">
        <v>1.56</v>
      </c>
      <c r="AA336">
        <v>4.29</v>
      </c>
      <c r="AB336">
        <v>6.66</v>
      </c>
      <c r="AC336">
        <v>1.5</v>
      </c>
      <c r="AD336">
        <v>4.2</v>
      </c>
      <c r="AE336">
        <v>6.5</v>
      </c>
      <c r="AF336">
        <v>1.5</v>
      </c>
      <c r="AG336">
        <v>4.2</v>
      </c>
      <c r="AH336">
        <v>5.75</v>
      </c>
      <c r="AI336">
        <v>1.58</v>
      </c>
      <c r="AJ336">
        <v>4.55</v>
      </c>
      <c r="AK336">
        <v>7</v>
      </c>
      <c r="AL336">
        <v>1.54</v>
      </c>
      <c r="AM336">
        <v>4.29</v>
      </c>
      <c r="AN336">
        <v>6.23</v>
      </c>
      <c r="AO336">
        <v>1</v>
      </c>
      <c r="AP336">
        <v>0.63574123235992697</v>
      </c>
      <c r="AQ336">
        <v>0.22076288947883099</v>
      </c>
      <c r="AR336">
        <v>0.14349587816123999</v>
      </c>
      <c r="AS336">
        <v>1</v>
      </c>
      <c r="AT336">
        <v>4.4711471286851198E-3</v>
      </c>
      <c r="AU336">
        <v>2.24310245960223</v>
      </c>
      <c r="AV336">
        <f t="shared" si="30"/>
        <v>293476092862.97906</v>
      </c>
      <c r="AW336">
        <f t="shared" si="31"/>
        <v>186574852944.88678</v>
      </c>
      <c r="AX336">
        <f t="shared" si="32"/>
        <v>64788630253.389259</v>
      </c>
      <c r="AY336">
        <f t="shared" si="33"/>
        <v>42112609664.703018</v>
      </c>
      <c r="AZ336" cm="1">
        <f t="array" ref="AZ336">_xlfn.IFS(E336="H",AW336*AI336-AV336,E336="D",AX336*AJ336-AV336,E336="A",AY336*AK336-AV336)</f>
        <v>1312174789.9420776</v>
      </c>
      <c r="BA336">
        <f t="shared" si="34"/>
        <v>23011666237.170837</v>
      </c>
    </row>
    <row r="337" spans="1:53" x14ac:dyDescent="0.2">
      <c r="A337">
        <v>9</v>
      </c>
      <c r="B337" t="s">
        <v>47</v>
      </c>
      <c r="C337" s="1">
        <v>44491</v>
      </c>
      <c r="D337" t="s">
        <v>48</v>
      </c>
      <c r="E337" t="s">
        <v>49</v>
      </c>
      <c r="F337" t="s">
        <v>278</v>
      </c>
      <c r="G337" t="s">
        <v>371</v>
      </c>
      <c r="H337">
        <v>7493</v>
      </c>
      <c r="I337" t="s">
        <v>275</v>
      </c>
      <c r="J337" t="s">
        <v>189</v>
      </c>
      <c r="K337" t="s">
        <v>54</v>
      </c>
      <c r="L337">
        <v>2021</v>
      </c>
      <c r="M337">
        <v>0.5</v>
      </c>
      <c r="N337">
        <v>1.25</v>
      </c>
      <c r="O337">
        <v>1</v>
      </c>
      <c r="P337">
        <v>1.25</v>
      </c>
      <c r="Q337">
        <v>1.8</v>
      </c>
      <c r="R337">
        <v>3.8</v>
      </c>
      <c r="S337">
        <v>4.2</v>
      </c>
      <c r="T337">
        <v>1.7</v>
      </c>
      <c r="U337">
        <v>4</v>
      </c>
      <c r="V337">
        <v>4.5</v>
      </c>
      <c r="W337">
        <v>1.83</v>
      </c>
      <c r="X337">
        <v>3.9</v>
      </c>
      <c r="Y337">
        <v>3.95</v>
      </c>
      <c r="Z337">
        <v>1.86</v>
      </c>
      <c r="AA337">
        <v>3.96</v>
      </c>
      <c r="AB337">
        <v>4.2699999999999996</v>
      </c>
      <c r="AC337">
        <v>1.78</v>
      </c>
      <c r="AD337">
        <v>3.9</v>
      </c>
      <c r="AE337">
        <v>4.33</v>
      </c>
      <c r="AF337">
        <v>1.8</v>
      </c>
      <c r="AG337">
        <v>3.7</v>
      </c>
      <c r="AH337">
        <v>4.33</v>
      </c>
      <c r="AI337">
        <v>1.89</v>
      </c>
      <c r="AJ337">
        <v>4.05</v>
      </c>
      <c r="AK337">
        <v>4.5</v>
      </c>
      <c r="AL337">
        <v>1.84</v>
      </c>
      <c r="AM337">
        <v>3.89</v>
      </c>
      <c r="AN337">
        <v>4.1399999999999997</v>
      </c>
      <c r="AO337">
        <v>1</v>
      </c>
      <c r="AP337">
        <v>0.53003533568904504</v>
      </c>
      <c r="AQ337">
        <v>0.247349823321554</v>
      </c>
      <c r="AR337">
        <v>0.22261484098939899</v>
      </c>
      <c r="AS337">
        <v>1</v>
      </c>
      <c r="AT337">
        <v>1.76678445229683E-3</v>
      </c>
      <c r="AU337">
        <v>2.2448692440545299</v>
      </c>
      <c r="AV337">
        <f t="shared" si="30"/>
        <v>316487759100.1499</v>
      </c>
      <c r="AW337">
        <f t="shared" si="31"/>
        <v>167749695636.12186</v>
      </c>
      <c r="AX337">
        <f t="shared" si="32"/>
        <v>78283191296.856873</v>
      </c>
      <c r="AY337">
        <f t="shared" si="33"/>
        <v>70454872167.171173</v>
      </c>
      <c r="AZ337" cm="1">
        <f t="array" ref="AZ337">_xlfn.IFS(E337="H",AW337*AI337-AV337,E337="D",AX337*AJ337-AV337,E337="A",AY337*AK337-AV337)</f>
        <v>559165652.12036133</v>
      </c>
      <c r="BA337">
        <f t="shared" si="34"/>
        <v>23570831889.291199</v>
      </c>
    </row>
    <row r="338" spans="1:53" x14ac:dyDescent="0.2">
      <c r="A338">
        <v>9</v>
      </c>
      <c r="B338" t="s">
        <v>47</v>
      </c>
      <c r="C338" s="1">
        <v>44491</v>
      </c>
      <c r="D338" t="s">
        <v>151</v>
      </c>
      <c r="E338" t="s">
        <v>49</v>
      </c>
      <c r="F338" t="s">
        <v>178</v>
      </c>
      <c r="G338" t="s">
        <v>213</v>
      </c>
      <c r="H338">
        <v>59496</v>
      </c>
      <c r="I338" t="s">
        <v>419</v>
      </c>
      <c r="J338" t="s">
        <v>297</v>
      </c>
      <c r="K338" t="s">
        <v>54</v>
      </c>
      <c r="L338">
        <v>2021</v>
      </c>
      <c r="M338">
        <v>1.75</v>
      </c>
      <c r="N338">
        <v>1.5</v>
      </c>
      <c r="O338">
        <v>0.75</v>
      </c>
      <c r="P338">
        <v>1</v>
      </c>
      <c r="Q338">
        <v>1.83</v>
      </c>
      <c r="R338">
        <v>3.75</v>
      </c>
      <c r="S338">
        <v>4.2</v>
      </c>
      <c r="T338">
        <v>1.9</v>
      </c>
      <c r="U338">
        <v>3.5</v>
      </c>
      <c r="V338">
        <v>4</v>
      </c>
      <c r="W338">
        <v>1.9</v>
      </c>
      <c r="X338">
        <v>3.65</v>
      </c>
      <c r="Y338">
        <v>4.0999999999999996</v>
      </c>
      <c r="Z338">
        <v>1.92</v>
      </c>
      <c r="AA338">
        <v>3.77</v>
      </c>
      <c r="AB338">
        <v>4.22</v>
      </c>
      <c r="AC338">
        <v>1.88</v>
      </c>
      <c r="AD338">
        <v>3.6</v>
      </c>
      <c r="AE338">
        <v>4</v>
      </c>
      <c r="AF338">
        <v>1.87</v>
      </c>
      <c r="AG338">
        <v>3.75</v>
      </c>
      <c r="AH338">
        <v>4.2</v>
      </c>
      <c r="AI338">
        <v>2.09</v>
      </c>
      <c r="AJ338">
        <v>3.9</v>
      </c>
      <c r="AK338">
        <v>4.3</v>
      </c>
      <c r="AL338">
        <v>1.91</v>
      </c>
      <c r="AM338">
        <v>3.73</v>
      </c>
      <c r="AN338">
        <v>4.05</v>
      </c>
      <c r="AO338">
        <v>1</v>
      </c>
      <c r="AP338">
        <v>0.49457355196413799</v>
      </c>
      <c r="AQ338">
        <v>0.265040698360268</v>
      </c>
      <c r="AR338">
        <v>0.24038574967559201</v>
      </c>
      <c r="AS338">
        <v>1</v>
      </c>
      <c r="AT338">
        <v>3.3658723605048901E-2</v>
      </c>
      <c r="AU338">
        <v>2.27852796765958</v>
      </c>
      <c r="AV338">
        <f t="shared" si="30"/>
        <v>340058590989.4411</v>
      </c>
      <c r="AW338">
        <f t="shared" si="31"/>
        <v>168183985221.56799</v>
      </c>
      <c r="AX338">
        <f t="shared" si="32"/>
        <v>90129366439.250519</v>
      </c>
      <c r="AY338">
        <f t="shared" si="33"/>
        <v>81745239328.622589</v>
      </c>
      <c r="AZ338" cm="1">
        <f t="array" ref="AZ338">_xlfn.IFS(E338="H",AW338*AI338-AV338,E338="D",AX338*AJ338-AV338,E338="A",AY338*AK338-AV338)</f>
        <v>11445938123.635986</v>
      </c>
      <c r="BA338">
        <f t="shared" si="34"/>
        <v>35016770012.927185</v>
      </c>
    </row>
    <row r="339" spans="1:53" x14ac:dyDescent="0.2">
      <c r="A339">
        <v>10</v>
      </c>
      <c r="B339" t="s">
        <v>47</v>
      </c>
      <c r="C339" s="1">
        <v>44491</v>
      </c>
      <c r="D339" t="s">
        <v>68</v>
      </c>
      <c r="E339" t="s">
        <v>57</v>
      </c>
      <c r="F339" t="s">
        <v>86</v>
      </c>
      <c r="G339" t="s">
        <v>287</v>
      </c>
      <c r="H339">
        <v>21128</v>
      </c>
      <c r="I339" t="s">
        <v>88</v>
      </c>
      <c r="J339" t="s">
        <v>430</v>
      </c>
      <c r="K339" t="s">
        <v>54</v>
      </c>
      <c r="L339">
        <v>2021</v>
      </c>
      <c r="M339">
        <v>1</v>
      </c>
      <c r="N339">
        <v>0.75</v>
      </c>
      <c r="O339">
        <v>0.5</v>
      </c>
      <c r="P339">
        <v>0.25</v>
      </c>
      <c r="Q339">
        <v>1.72</v>
      </c>
      <c r="R339">
        <v>3.5</v>
      </c>
      <c r="S339">
        <v>5.25</v>
      </c>
      <c r="T339">
        <v>1.78</v>
      </c>
      <c r="U339">
        <v>3.6</v>
      </c>
      <c r="V339">
        <v>4.5</v>
      </c>
      <c r="W339">
        <v>1.77</v>
      </c>
      <c r="X339">
        <v>3.45</v>
      </c>
      <c r="Y339">
        <v>5</v>
      </c>
      <c r="Z339">
        <v>1.81</v>
      </c>
      <c r="AA339">
        <v>3.57</v>
      </c>
      <c r="AB339">
        <v>5.25</v>
      </c>
      <c r="AC339">
        <v>1.75</v>
      </c>
      <c r="AD339">
        <v>3.5</v>
      </c>
      <c r="AE339">
        <v>5</v>
      </c>
      <c r="AF339">
        <v>1.75</v>
      </c>
      <c r="AG339">
        <v>3.6</v>
      </c>
      <c r="AH339">
        <v>5</v>
      </c>
      <c r="AI339">
        <v>1.85</v>
      </c>
      <c r="AJ339">
        <v>3.68</v>
      </c>
      <c r="AK339">
        <v>5.5</v>
      </c>
      <c r="AL339">
        <v>1.78</v>
      </c>
      <c r="AM339">
        <v>3.52</v>
      </c>
      <c r="AN339">
        <v>5.01</v>
      </c>
      <c r="AO339">
        <v>1</v>
      </c>
      <c r="AP339">
        <v>0.54374983209306005</v>
      </c>
      <c r="AQ339">
        <v>0.27335249711199999</v>
      </c>
      <c r="AR339">
        <v>0.18289767079493799</v>
      </c>
      <c r="AS339">
        <v>1</v>
      </c>
      <c r="AT339">
        <v>5.9371893721624699E-3</v>
      </c>
      <c r="AU339">
        <v>2.28446515703174</v>
      </c>
      <c r="AV339">
        <f t="shared" si="30"/>
        <v>375075361002.36829</v>
      </c>
      <c r="AW339">
        <f t="shared" si="31"/>
        <v>203947164567.28192</v>
      </c>
      <c r="AX339">
        <f t="shared" si="32"/>
        <v>102527786535.18248</v>
      </c>
      <c r="AY339">
        <f t="shared" si="33"/>
        <v>68600409899.903923</v>
      </c>
      <c r="AZ339" cm="1">
        <f t="array" ref="AZ339">_xlfn.IFS(E339="H",AW339*AI339-AV339,E339="D",AX339*AJ339-AV339,E339="A",AY339*AK339-AV339)</f>
        <v>2226893447.1032715</v>
      </c>
      <c r="BA339">
        <f t="shared" si="34"/>
        <v>37243663460.030457</v>
      </c>
    </row>
    <row r="340" spans="1:53" x14ac:dyDescent="0.2">
      <c r="A340">
        <v>9</v>
      </c>
      <c r="B340" t="s">
        <v>55</v>
      </c>
      <c r="C340" s="1">
        <v>44492</v>
      </c>
      <c r="D340" t="s">
        <v>73</v>
      </c>
      <c r="E340" t="s">
        <v>74</v>
      </c>
      <c r="F340" t="s">
        <v>261</v>
      </c>
      <c r="G340" t="s">
        <v>172</v>
      </c>
      <c r="H340">
        <v>10251</v>
      </c>
      <c r="I340" t="s">
        <v>262</v>
      </c>
      <c r="J340" t="s">
        <v>269</v>
      </c>
      <c r="K340" t="s">
        <v>54</v>
      </c>
      <c r="L340">
        <v>2021</v>
      </c>
      <c r="M340">
        <v>1.75</v>
      </c>
      <c r="N340">
        <v>1</v>
      </c>
      <c r="O340">
        <v>2</v>
      </c>
      <c r="P340">
        <v>1.25</v>
      </c>
      <c r="Q340">
        <v>2.1</v>
      </c>
      <c r="R340">
        <v>3.3</v>
      </c>
      <c r="S340">
        <v>3.6</v>
      </c>
      <c r="T340">
        <v>2</v>
      </c>
      <c r="U340">
        <v>3.4</v>
      </c>
      <c r="V340">
        <v>3.75</v>
      </c>
      <c r="W340">
        <v>2.15</v>
      </c>
      <c r="X340">
        <v>3.3</v>
      </c>
      <c r="Y340">
        <v>3.55</v>
      </c>
      <c r="Z340">
        <v>2.19</v>
      </c>
      <c r="AA340">
        <v>3.37</v>
      </c>
      <c r="AB340">
        <v>3.7</v>
      </c>
      <c r="AC340">
        <v>2.15</v>
      </c>
      <c r="AD340">
        <v>3.3</v>
      </c>
      <c r="AE340">
        <v>3.4</v>
      </c>
      <c r="AF340">
        <v>2.15</v>
      </c>
      <c r="AG340">
        <v>3.4</v>
      </c>
      <c r="AH340">
        <v>3.4</v>
      </c>
      <c r="AI340">
        <v>2.25</v>
      </c>
      <c r="AJ340">
        <v>3.54</v>
      </c>
      <c r="AK340">
        <v>3.7</v>
      </c>
      <c r="AL340">
        <v>2.1800000000000002</v>
      </c>
      <c r="AM340">
        <v>3.3</v>
      </c>
      <c r="AN340">
        <v>3.52</v>
      </c>
      <c r="AO340">
        <v>1</v>
      </c>
      <c r="AP340">
        <v>0.44569211923233898</v>
      </c>
      <c r="AQ340">
        <v>0.28327888934258799</v>
      </c>
      <c r="AR340">
        <v>0.27102899142507098</v>
      </c>
      <c r="AS340">
        <v>0.999999999999999</v>
      </c>
      <c r="AT340">
        <v>2.80726827276422E-3</v>
      </c>
      <c r="AU340">
        <v>2.28727242530451</v>
      </c>
      <c r="AV340">
        <f t="shared" si="30"/>
        <v>412319024462.39874</v>
      </c>
      <c r="AW340">
        <f t="shared" si="31"/>
        <v>183767339812.4574</v>
      </c>
      <c r="AX340">
        <f t="shared" si="32"/>
        <v>116801275304.52803</v>
      </c>
      <c r="AY340">
        <f t="shared" si="33"/>
        <v>111750409345.41328</v>
      </c>
      <c r="AZ340" cm="1">
        <f t="array" ref="AZ340">_xlfn.IFS(E340="H",AW340*AI340-AV340,E340="D",AX340*AJ340-AV340,E340="A",AY340*AK340-AV340)</f>
        <v>1157490115.6304321</v>
      </c>
      <c r="BA340">
        <f t="shared" si="34"/>
        <v>38401153575.660889</v>
      </c>
    </row>
    <row r="341" spans="1:53" x14ac:dyDescent="0.2">
      <c r="A341">
        <v>9</v>
      </c>
      <c r="B341" t="s">
        <v>55</v>
      </c>
      <c r="C341" s="1">
        <v>44492</v>
      </c>
      <c r="D341" t="s">
        <v>48</v>
      </c>
      <c r="E341" t="s">
        <v>74</v>
      </c>
      <c r="F341" t="s">
        <v>241</v>
      </c>
      <c r="G341" t="s">
        <v>243</v>
      </c>
      <c r="H341">
        <v>22167</v>
      </c>
      <c r="I341" t="s">
        <v>242</v>
      </c>
      <c r="J341" t="s">
        <v>208</v>
      </c>
      <c r="K341" t="s">
        <v>54</v>
      </c>
      <c r="L341">
        <v>2021</v>
      </c>
      <c r="M341">
        <v>2.5</v>
      </c>
      <c r="N341">
        <v>2.25</v>
      </c>
      <c r="O341">
        <v>2.5</v>
      </c>
      <c r="P341">
        <v>1.75</v>
      </c>
      <c r="Q341">
        <v>3.35</v>
      </c>
      <c r="R341">
        <v>3.6</v>
      </c>
      <c r="S341">
        <v>2.1</v>
      </c>
      <c r="T341">
        <v>3.75</v>
      </c>
      <c r="U341">
        <v>3.6</v>
      </c>
      <c r="V341">
        <v>1.93</v>
      </c>
      <c r="W341">
        <v>3.35</v>
      </c>
      <c r="X341">
        <v>3.45</v>
      </c>
      <c r="Y341">
        <v>2.2000000000000002</v>
      </c>
      <c r="Z341">
        <v>3.42</v>
      </c>
      <c r="AA341">
        <v>3.54</v>
      </c>
      <c r="AB341">
        <v>2.2400000000000002</v>
      </c>
      <c r="AC341">
        <v>3.3</v>
      </c>
      <c r="AD341">
        <v>3.4</v>
      </c>
      <c r="AE341">
        <v>2.2000000000000002</v>
      </c>
      <c r="AF341">
        <v>3.25</v>
      </c>
      <c r="AG341">
        <v>3.4</v>
      </c>
      <c r="AH341">
        <v>2.2000000000000002</v>
      </c>
      <c r="AI341">
        <v>3.58</v>
      </c>
      <c r="AJ341">
        <v>3.89</v>
      </c>
      <c r="AK341">
        <v>2.2400000000000002</v>
      </c>
      <c r="AL341">
        <v>3.34</v>
      </c>
      <c r="AM341">
        <v>3.5</v>
      </c>
      <c r="AN341">
        <v>2.16</v>
      </c>
      <c r="AO341">
        <v>1</v>
      </c>
      <c r="AP341">
        <v>0.28421018298052703</v>
      </c>
      <c r="AQ341">
        <v>0.261561042434521</v>
      </c>
      <c r="AR341">
        <v>0.45422877458494998</v>
      </c>
      <c r="AS341">
        <v>1</v>
      </c>
      <c r="AT341">
        <v>1.74724550702893E-2</v>
      </c>
      <c r="AU341">
        <v>2.3047448803748001</v>
      </c>
      <c r="AV341">
        <f t="shared" si="30"/>
        <v>450720178038.05963</v>
      </c>
      <c r="AW341">
        <f t="shared" si="31"/>
        <v>128099264273.21297</v>
      </c>
      <c r="AX341">
        <f t="shared" si="32"/>
        <v>117890839613.90808</v>
      </c>
      <c r="AY341">
        <f t="shared" si="33"/>
        <v>204730074150.93857</v>
      </c>
      <c r="AZ341" cm="1">
        <f t="array" ref="AZ341">_xlfn.IFS(E341="H",AW341*AI341-AV341,E341="D",AX341*AJ341-AV341,E341="A",AY341*AK341-AV341)</f>
        <v>7875188060.0427856</v>
      </c>
      <c r="BA341">
        <f t="shared" si="34"/>
        <v>46276341635.703674</v>
      </c>
    </row>
    <row r="342" spans="1:53" x14ac:dyDescent="0.2">
      <c r="A342">
        <v>9</v>
      </c>
      <c r="B342" t="s">
        <v>67</v>
      </c>
      <c r="C342" s="1">
        <v>44493</v>
      </c>
      <c r="D342" t="s">
        <v>107</v>
      </c>
      <c r="E342" t="s">
        <v>57</v>
      </c>
      <c r="F342" t="s">
        <v>108</v>
      </c>
      <c r="G342" t="s">
        <v>303</v>
      </c>
      <c r="H342">
        <v>47801</v>
      </c>
      <c r="I342" t="s">
        <v>110</v>
      </c>
      <c r="J342" t="s">
        <v>319</v>
      </c>
      <c r="K342" t="s">
        <v>54</v>
      </c>
      <c r="L342">
        <v>2021</v>
      </c>
      <c r="M342">
        <v>3</v>
      </c>
      <c r="N342">
        <v>2</v>
      </c>
      <c r="O342">
        <v>3</v>
      </c>
      <c r="P342">
        <v>3</v>
      </c>
      <c r="Q342">
        <v>2.87</v>
      </c>
      <c r="R342">
        <v>3.5</v>
      </c>
      <c r="S342">
        <v>2.4</v>
      </c>
      <c r="T342">
        <v>2.6</v>
      </c>
      <c r="U342">
        <v>3.5</v>
      </c>
      <c r="V342">
        <v>2.5499999999999998</v>
      </c>
      <c r="W342">
        <v>2.8</v>
      </c>
      <c r="X342">
        <v>3.45</v>
      </c>
      <c r="Y342">
        <v>2.5</v>
      </c>
      <c r="Z342">
        <v>2.95</v>
      </c>
      <c r="AA342">
        <v>3.52</v>
      </c>
      <c r="AB342">
        <v>2.5</v>
      </c>
      <c r="AC342">
        <v>2.88</v>
      </c>
      <c r="AD342">
        <v>3.5</v>
      </c>
      <c r="AE342">
        <v>2.38</v>
      </c>
      <c r="AF342">
        <v>2.9</v>
      </c>
      <c r="AG342">
        <v>3.4</v>
      </c>
      <c r="AH342">
        <v>2.38</v>
      </c>
      <c r="AI342">
        <v>3.04</v>
      </c>
      <c r="AJ342">
        <v>3.78</v>
      </c>
      <c r="AK342">
        <v>2.5</v>
      </c>
      <c r="AL342">
        <v>2.86</v>
      </c>
      <c r="AM342">
        <v>3.51</v>
      </c>
      <c r="AN342">
        <v>2.4300000000000002</v>
      </c>
      <c r="AO342">
        <v>1</v>
      </c>
      <c r="AP342">
        <v>0.33110030412176</v>
      </c>
      <c r="AQ342">
        <v>0.266281726066178</v>
      </c>
      <c r="AR342">
        <v>0.40261796981206099</v>
      </c>
      <c r="AS342">
        <v>1</v>
      </c>
      <c r="AT342">
        <v>6.5449245301527599E-3</v>
      </c>
      <c r="AU342">
        <v>2.3112898049049502</v>
      </c>
      <c r="AV342">
        <f t="shared" si="30"/>
        <v>496996519673.76331</v>
      </c>
      <c r="AW342">
        <f t="shared" si="31"/>
        <v>164555698811.43973</v>
      </c>
      <c r="AX342">
        <f t="shared" si="32"/>
        <v>132341091107.6129</v>
      </c>
      <c r="AY342">
        <f t="shared" si="33"/>
        <v>200099729754.71069</v>
      </c>
      <c r="AZ342" cm="1">
        <f t="array" ref="AZ342">_xlfn.IFS(E342="H",AW342*AI342-AV342,E342="D",AX342*AJ342-AV342,E342="A",AY342*AK342-AV342)</f>
        <v>3252804713.0134277</v>
      </c>
      <c r="BA342">
        <f t="shared" si="34"/>
        <v>49529146348.717102</v>
      </c>
    </row>
    <row r="343" spans="1:53" x14ac:dyDescent="0.2">
      <c r="A343">
        <v>9</v>
      </c>
      <c r="B343" t="s">
        <v>67</v>
      </c>
      <c r="C343" s="1">
        <v>44493</v>
      </c>
      <c r="D343" t="s">
        <v>226</v>
      </c>
      <c r="E343" t="s">
        <v>74</v>
      </c>
      <c r="F343" t="s">
        <v>127</v>
      </c>
      <c r="G343" t="s">
        <v>210</v>
      </c>
      <c r="H343">
        <v>73088</v>
      </c>
      <c r="I343" t="s">
        <v>305</v>
      </c>
      <c r="J343" t="s">
        <v>129</v>
      </c>
      <c r="K343" t="s">
        <v>54</v>
      </c>
      <c r="L343">
        <v>2021</v>
      </c>
      <c r="M343">
        <v>1.75</v>
      </c>
      <c r="N343">
        <v>2.5</v>
      </c>
      <c r="O343">
        <v>2.5</v>
      </c>
      <c r="P343">
        <v>3.5</v>
      </c>
      <c r="Q343">
        <v>3.1</v>
      </c>
      <c r="R343">
        <v>3.6</v>
      </c>
      <c r="S343">
        <v>2.2000000000000002</v>
      </c>
      <c r="T343">
        <v>3</v>
      </c>
      <c r="U343">
        <v>3.5</v>
      </c>
      <c r="V343">
        <v>2.25</v>
      </c>
      <c r="W343">
        <v>3</v>
      </c>
      <c r="X343">
        <v>3.65</v>
      </c>
      <c r="Y343">
        <v>2.25</v>
      </c>
      <c r="Z343">
        <v>3.15</v>
      </c>
      <c r="AA343">
        <v>3.73</v>
      </c>
      <c r="AB343">
        <v>2.29</v>
      </c>
      <c r="AC343">
        <v>3</v>
      </c>
      <c r="AD343">
        <v>3.5</v>
      </c>
      <c r="AE343">
        <v>2.25</v>
      </c>
      <c r="AF343">
        <v>3</v>
      </c>
      <c r="AG343">
        <v>3.6</v>
      </c>
      <c r="AH343">
        <v>2.2000000000000002</v>
      </c>
      <c r="AI343">
        <v>3.25</v>
      </c>
      <c r="AJ343">
        <v>3.81</v>
      </c>
      <c r="AK343">
        <v>2.38</v>
      </c>
      <c r="AL343">
        <v>3.06</v>
      </c>
      <c r="AM343">
        <v>3.66</v>
      </c>
      <c r="AN343">
        <v>2.27</v>
      </c>
      <c r="AO343">
        <v>1</v>
      </c>
      <c r="AP343">
        <v>0.31069750867731299</v>
      </c>
      <c r="AQ343">
        <v>0.26503068325492601</v>
      </c>
      <c r="AR343">
        <v>0.42427180806775999</v>
      </c>
      <c r="AS343">
        <v>1</v>
      </c>
      <c r="AT343">
        <v>9.7669032012690504E-3</v>
      </c>
      <c r="AU343">
        <v>2.3210567081062199</v>
      </c>
      <c r="AV343">
        <f t="shared" si="30"/>
        <v>546525666022.48041</v>
      </c>
      <c r="AW343">
        <f t="shared" si="31"/>
        <v>169804162861.3942</v>
      </c>
      <c r="AX343">
        <f t="shared" si="32"/>
        <v>144846070682.29163</v>
      </c>
      <c r="AY343">
        <f t="shared" si="33"/>
        <v>231875432478.79459</v>
      </c>
      <c r="AZ343" cm="1">
        <f t="array" ref="AZ343">_xlfn.IFS(E343="H",AW343*AI343-AV343,E343="D",AX343*AJ343-AV343,E343="A",AY343*AK343-AV343)</f>
        <v>5337863277.0507202</v>
      </c>
      <c r="BA343">
        <f t="shared" si="34"/>
        <v>54867009625.767822</v>
      </c>
    </row>
    <row r="344" spans="1:53" x14ac:dyDescent="0.2">
      <c r="A344">
        <v>11</v>
      </c>
      <c r="B344" t="s">
        <v>67</v>
      </c>
      <c r="C344" s="1">
        <v>44493</v>
      </c>
      <c r="D344" t="s">
        <v>82</v>
      </c>
      <c r="E344" t="s">
        <v>49</v>
      </c>
      <c r="F344" t="s">
        <v>135</v>
      </c>
      <c r="G344" t="s">
        <v>64</v>
      </c>
      <c r="H344">
        <v>4861</v>
      </c>
      <c r="I344" t="s">
        <v>136</v>
      </c>
      <c r="J344" t="s">
        <v>330</v>
      </c>
      <c r="K344" t="s">
        <v>54</v>
      </c>
      <c r="L344">
        <v>2021</v>
      </c>
      <c r="M344">
        <v>1.5</v>
      </c>
      <c r="N344">
        <v>1.5</v>
      </c>
      <c r="O344">
        <v>0.5</v>
      </c>
      <c r="P344">
        <v>1.25</v>
      </c>
      <c r="Q344">
        <v>1.44</v>
      </c>
      <c r="R344">
        <v>5</v>
      </c>
      <c r="S344">
        <v>6</v>
      </c>
      <c r="T344">
        <v>1.46</v>
      </c>
      <c r="U344">
        <v>4.75</v>
      </c>
      <c r="V344">
        <v>6.5</v>
      </c>
      <c r="W344">
        <v>1.43</v>
      </c>
      <c r="X344">
        <v>5</v>
      </c>
      <c r="Y344">
        <v>6.5</v>
      </c>
      <c r="Z344">
        <v>1.5</v>
      </c>
      <c r="AA344">
        <v>4.71</v>
      </c>
      <c r="AB344">
        <v>6.91</v>
      </c>
      <c r="AC344">
        <v>1.44</v>
      </c>
      <c r="AD344">
        <v>4.4000000000000004</v>
      </c>
      <c r="AE344">
        <v>6.5</v>
      </c>
      <c r="AF344">
        <v>1.44</v>
      </c>
      <c r="AG344">
        <v>4.5</v>
      </c>
      <c r="AH344">
        <v>7</v>
      </c>
      <c r="AI344">
        <v>1.52</v>
      </c>
      <c r="AJ344">
        <v>5</v>
      </c>
      <c r="AK344">
        <v>7.19</v>
      </c>
      <c r="AL344">
        <v>1.46</v>
      </c>
      <c r="AM344">
        <v>4.5999999999999996</v>
      </c>
      <c r="AN344">
        <v>6.56</v>
      </c>
      <c r="AO344">
        <v>1</v>
      </c>
      <c r="AP344">
        <v>0.65988971856942502</v>
      </c>
      <c r="AQ344">
        <v>0.20060647444510499</v>
      </c>
      <c r="AR344">
        <v>0.13950380698546899</v>
      </c>
      <c r="AS344">
        <v>1</v>
      </c>
      <c r="AT344">
        <v>3.0323722255261002E-3</v>
      </c>
      <c r="AU344">
        <v>2.3240890803317402</v>
      </c>
      <c r="AV344">
        <f t="shared" si="30"/>
        <v>601392675648.24829</v>
      </c>
      <c r="AW344">
        <f t="shared" si="31"/>
        <v>396852843483.23615</v>
      </c>
      <c r="AX344">
        <f t="shared" si="32"/>
        <v>120643264418.90381</v>
      </c>
      <c r="AY344">
        <f t="shared" si="33"/>
        <v>83896567746.108337</v>
      </c>
      <c r="AZ344" cm="1">
        <f t="array" ref="AZ344">_xlfn.IFS(E344="H",AW344*AI344-AV344,E344="D",AX344*AJ344-AV344,E344="A",AY344*AK344-AV344)</f>
        <v>1823646446.2706299</v>
      </c>
      <c r="BA344">
        <f t="shared" si="34"/>
        <v>56690656072.038452</v>
      </c>
    </row>
    <row r="345" spans="1:53" x14ac:dyDescent="0.2">
      <c r="A345">
        <v>11</v>
      </c>
      <c r="B345" t="s">
        <v>202</v>
      </c>
      <c r="C345" s="1">
        <v>44496</v>
      </c>
      <c r="D345" t="s">
        <v>418</v>
      </c>
      <c r="E345" t="s">
        <v>57</v>
      </c>
      <c r="F345" t="s">
        <v>263</v>
      </c>
      <c r="G345" t="s">
        <v>161</v>
      </c>
      <c r="H345">
        <v>15125</v>
      </c>
      <c r="I345" t="s">
        <v>264</v>
      </c>
      <c r="J345" t="s">
        <v>385</v>
      </c>
      <c r="K345" t="s">
        <v>54</v>
      </c>
      <c r="L345">
        <v>2021</v>
      </c>
      <c r="M345">
        <v>1.75</v>
      </c>
      <c r="N345">
        <v>1</v>
      </c>
      <c r="O345">
        <v>1.25</v>
      </c>
      <c r="P345">
        <v>0.5</v>
      </c>
      <c r="Q345">
        <v>5.5</v>
      </c>
      <c r="R345">
        <v>3.3</v>
      </c>
      <c r="S345">
        <v>1.75</v>
      </c>
      <c r="T345">
        <v>6</v>
      </c>
      <c r="U345">
        <v>3.25</v>
      </c>
      <c r="V345">
        <v>1.71</v>
      </c>
      <c r="W345">
        <v>5.25</v>
      </c>
      <c r="X345">
        <v>3.35</v>
      </c>
      <c r="Y345">
        <v>1.8</v>
      </c>
      <c r="Z345">
        <v>5.49</v>
      </c>
      <c r="AA345">
        <v>3.28</v>
      </c>
      <c r="AB345">
        <v>1.86</v>
      </c>
      <c r="AC345">
        <v>5.25</v>
      </c>
      <c r="AD345">
        <v>3.25</v>
      </c>
      <c r="AE345">
        <v>1.78</v>
      </c>
      <c r="AF345">
        <v>4.5999999999999996</v>
      </c>
      <c r="AG345">
        <v>3.4</v>
      </c>
      <c r="AH345">
        <v>1.8</v>
      </c>
      <c r="AI345">
        <v>5.56</v>
      </c>
      <c r="AJ345">
        <v>3.52</v>
      </c>
      <c r="AK345">
        <v>1.87</v>
      </c>
      <c r="AL345">
        <v>5.09</v>
      </c>
      <c r="AM345">
        <v>3.33</v>
      </c>
      <c r="AN345">
        <v>1.81</v>
      </c>
      <c r="AO345">
        <v>1</v>
      </c>
      <c r="AP345">
        <v>0.180089081497532</v>
      </c>
      <c r="AQ345">
        <v>0.28445889009269198</v>
      </c>
      <c r="AR345">
        <v>0.53545202840977402</v>
      </c>
      <c r="AS345">
        <v>1</v>
      </c>
      <c r="AT345">
        <v>1.29529312627907E-3</v>
      </c>
      <c r="AU345">
        <v>2.3253843734580202</v>
      </c>
      <c r="AV345">
        <f t="shared" si="30"/>
        <v>658083331720.28674</v>
      </c>
      <c r="AW345">
        <f t="shared" si="31"/>
        <v>118513622758.34225</v>
      </c>
      <c r="AX345">
        <f t="shared" si="32"/>
        <v>187197654129.65421</v>
      </c>
      <c r="AY345">
        <f t="shared" si="33"/>
        <v>352372054832.29028</v>
      </c>
      <c r="AZ345" cm="1">
        <f t="array" ref="AZ345">_xlfn.IFS(E345="H",AW345*AI345-AV345,E345="D",AX345*AJ345-AV345,E345="A",AY345*AK345-AV345)</f>
        <v>852410816.09606934</v>
      </c>
      <c r="BA345">
        <f t="shared" si="34"/>
        <v>57543066888.134521</v>
      </c>
    </row>
    <row r="346" spans="1:53" x14ac:dyDescent="0.2">
      <c r="A346">
        <v>11</v>
      </c>
      <c r="B346" t="s">
        <v>198</v>
      </c>
      <c r="C346" s="1">
        <v>44501</v>
      </c>
      <c r="D346" t="s">
        <v>431</v>
      </c>
      <c r="E346" t="s">
        <v>49</v>
      </c>
      <c r="F346" t="s">
        <v>241</v>
      </c>
      <c r="G346" t="s">
        <v>141</v>
      </c>
      <c r="H346">
        <v>10126</v>
      </c>
      <c r="I346" t="s">
        <v>242</v>
      </c>
      <c r="J346" t="s">
        <v>319</v>
      </c>
      <c r="K346" t="s">
        <v>54</v>
      </c>
      <c r="L346">
        <v>2021</v>
      </c>
      <c r="M346">
        <v>1.75</v>
      </c>
      <c r="N346">
        <v>2</v>
      </c>
      <c r="O346">
        <v>0.25</v>
      </c>
      <c r="P346">
        <v>0.75</v>
      </c>
      <c r="Q346">
        <v>1.8</v>
      </c>
      <c r="R346">
        <v>3.6</v>
      </c>
      <c r="S346">
        <v>4.5</v>
      </c>
      <c r="T346">
        <v>1.82</v>
      </c>
      <c r="U346">
        <v>3.8</v>
      </c>
      <c r="V346">
        <v>4.0999999999999996</v>
      </c>
      <c r="W346">
        <v>1.85</v>
      </c>
      <c r="X346">
        <v>3.7</v>
      </c>
      <c r="Y346">
        <v>4.2</v>
      </c>
      <c r="Z346">
        <v>1.81</v>
      </c>
      <c r="AA346">
        <v>3.84</v>
      </c>
      <c r="AB346">
        <v>4.75</v>
      </c>
      <c r="AC346">
        <v>1.83</v>
      </c>
      <c r="AD346">
        <v>3.6</v>
      </c>
      <c r="AE346">
        <v>4.4000000000000004</v>
      </c>
      <c r="AF346">
        <v>1.8</v>
      </c>
      <c r="AG346">
        <v>3.6</v>
      </c>
      <c r="AH346">
        <v>4.4000000000000004</v>
      </c>
      <c r="AI346">
        <v>1.91</v>
      </c>
      <c r="AJ346">
        <v>3.89</v>
      </c>
      <c r="AK346">
        <v>4.75</v>
      </c>
      <c r="AL346">
        <v>1.83</v>
      </c>
      <c r="AM346">
        <v>3.69</v>
      </c>
      <c r="AN346">
        <v>4.3600000000000003</v>
      </c>
      <c r="AO346">
        <v>1</v>
      </c>
      <c r="AP346">
        <v>0.52823192747835102</v>
      </c>
      <c r="AQ346">
        <v>0.25936323431456298</v>
      </c>
      <c r="AR346">
        <v>0.212404838207084</v>
      </c>
      <c r="AS346">
        <v>1</v>
      </c>
      <c r="AT346">
        <v>8.9229814836517801E-3</v>
      </c>
      <c r="AU346">
        <v>2.3343073549416702</v>
      </c>
      <c r="AV346">
        <f t="shared" si="30"/>
        <v>715626398608.42126</v>
      </c>
      <c r="AW346">
        <f t="shared" si="31"/>
        <v>378016711891.31769</v>
      </c>
      <c r="AX346">
        <f t="shared" si="32"/>
        <v>185607177303.9632</v>
      </c>
      <c r="AY346">
        <f t="shared" si="33"/>
        <v>152002509413.14038</v>
      </c>
      <c r="AZ346" cm="1">
        <f t="array" ref="AZ346">_xlfn.IFS(E346="H",AW346*AI346-AV346,E346="D",AX346*AJ346-AV346,E346="A",AY346*AK346-AV346)</f>
        <v>6385521103.9954834</v>
      </c>
      <c r="BA346">
        <f t="shared" si="34"/>
        <v>63928587992.130005</v>
      </c>
    </row>
    <row r="347" spans="1:53" x14ac:dyDescent="0.2">
      <c r="A347">
        <v>13</v>
      </c>
      <c r="B347" t="s">
        <v>47</v>
      </c>
      <c r="C347" s="1">
        <v>44505</v>
      </c>
      <c r="D347" t="s">
        <v>432</v>
      </c>
      <c r="E347" t="s">
        <v>49</v>
      </c>
      <c r="F347" t="s">
        <v>337</v>
      </c>
      <c r="G347" t="s">
        <v>433</v>
      </c>
      <c r="H347">
        <v>35706</v>
      </c>
      <c r="I347" t="s">
        <v>338</v>
      </c>
      <c r="J347" t="s">
        <v>98</v>
      </c>
      <c r="K347" t="s">
        <v>54</v>
      </c>
      <c r="L347">
        <v>2021</v>
      </c>
      <c r="M347">
        <v>2.25</v>
      </c>
      <c r="N347">
        <v>1.75</v>
      </c>
      <c r="O347">
        <v>1.5</v>
      </c>
      <c r="P347">
        <v>1.25</v>
      </c>
      <c r="Q347">
        <v>1.6</v>
      </c>
      <c r="R347">
        <v>4</v>
      </c>
      <c r="S347">
        <v>5.5</v>
      </c>
      <c r="T347">
        <v>1.6</v>
      </c>
      <c r="U347">
        <v>4.2</v>
      </c>
      <c r="V347">
        <v>5</v>
      </c>
      <c r="W347">
        <v>1.65</v>
      </c>
      <c r="X347">
        <v>4.0999999999999996</v>
      </c>
      <c r="Y347">
        <v>5</v>
      </c>
      <c r="Z347">
        <v>1.63</v>
      </c>
      <c r="AA347">
        <v>4.2300000000000004</v>
      </c>
      <c r="AB347">
        <v>5.69</v>
      </c>
      <c r="AC347">
        <v>1.62</v>
      </c>
      <c r="AD347">
        <v>3.8</v>
      </c>
      <c r="AE347">
        <v>5.25</v>
      </c>
      <c r="AF347">
        <v>1.6</v>
      </c>
      <c r="AG347">
        <v>4.0999999999999996</v>
      </c>
      <c r="AH347">
        <v>5.5</v>
      </c>
      <c r="AI347">
        <v>1.69</v>
      </c>
      <c r="AJ347">
        <v>4.34</v>
      </c>
      <c r="AK347">
        <v>5.7</v>
      </c>
      <c r="AL347">
        <v>1.63</v>
      </c>
      <c r="AM347">
        <v>4.12</v>
      </c>
      <c r="AN347">
        <v>5.27</v>
      </c>
      <c r="AO347">
        <v>1</v>
      </c>
      <c r="AP347">
        <v>0.59315775339522703</v>
      </c>
      <c r="AQ347">
        <v>0.230976175861275</v>
      </c>
      <c r="AR347">
        <v>0.175866070743497</v>
      </c>
      <c r="AS347">
        <v>1</v>
      </c>
      <c r="AT347">
        <v>2.43660323793437E-3</v>
      </c>
      <c r="AU347">
        <v>2.3367439581796101</v>
      </c>
      <c r="AV347">
        <f t="shared" si="30"/>
        <v>779554986600.55127</v>
      </c>
      <c r="AW347">
        <f t="shared" si="31"/>
        <v>462399084500.02966</v>
      </c>
      <c r="AX347">
        <f t="shared" si="32"/>
        <v>180058629678.58301</v>
      </c>
      <c r="AY347">
        <f t="shared" si="33"/>
        <v>137097272421.93863</v>
      </c>
      <c r="AZ347" cm="1">
        <f t="array" ref="AZ347">_xlfn.IFS(E347="H",AW347*AI347-AV347,E347="D",AX347*AJ347-AV347,E347="A",AY347*AK347-AV347)</f>
        <v>1899466204.4987793</v>
      </c>
      <c r="BA347">
        <f t="shared" si="34"/>
        <v>65828054196.628784</v>
      </c>
    </row>
    <row r="348" spans="1:53" x14ac:dyDescent="0.2">
      <c r="A348">
        <v>11</v>
      </c>
      <c r="B348" t="s">
        <v>55</v>
      </c>
      <c r="C348" s="1">
        <v>44506</v>
      </c>
      <c r="D348" t="s">
        <v>368</v>
      </c>
      <c r="E348" t="s">
        <v>49</v>
      </c>
      <c r="F348" t="s">
        <v>281</v>
      </c>
      <c r="G348" t="s">
        <v>404</v>
      </c>
      <c r="H348">
        <v>24390</v>
      </c>
      <c r="I348" t="s">
        <v>282</v>
      </c>
      <c r="J348" t="s">
        <v>280</v>
      </c>
      <c r="K348" t="s">
        <v>54</v>
      </c>
      <c r="L348">
        <v>2021</v>
      </c>
      <c r="M348">
        <v>1.5</v>
      </c>
      <c r="N348">
        <v>1.75</v>
      </c>
      <c r="O348">
        <v>2.5</v>
      </c>
      <c r="P348">
        <v>1.75</v>
      </c>
      <c r="Q348">
        <v>2.4500000000000002</v>
      </c>
      <c r="R348">
        <v>3.2</v>
      </c>
      <c r="S348">
        <v>3</v>
      </c>
      <c r="T348">
        <v>2.4</v>
      </c>
      <c r="U348">
        <v>3.2</v>
      </c>
      <c r="V348">
        <v>3</v>
      </c>
      <c r="W348">
        <v>2.5</v>
      </c>
      <c r="X348">
        <v>3.15</v>
      </c>
      <c r="Y348">
        <v>3.05</v>
      </c>
      <c r="Z348">
        <v>2.56</v>
      </c>
      <c r="AA348">
        <v>3.17</v>
      </c>
      <c r="AB348">
        <v>3.17</v>
      </c>
      <c r="AC348">
        <v>2.4500000000000002</v>
      </c>
      <c r="AD348">
        <v>3.1</v>
      </c>
      <c r="AE348">
        <v>3</v>
      </c>
      <c r="AF348">
        <v>2.4</v>
      </c>
      <c r="AG348">
        <v>3</v>
      </c>
      <c r="AH348">
        <v>3.1</v>
      </c>
      <c r="AI348">
        <v>2.62</v>
      </c>
      <c r="AJ348">
        <v>3.33</v>
      </c>
      <c r="AK348">
        <v>3.21</v>
      </c>
      <c r="AL348">
        <v>2.5</v>
      </c>
      <c r="AM348">
        <v>3.15</v>
      </c>
      <c r="AN348">
        <v>3.08</v>
      </c>
      <c r="AO348">
        <v>1</v>
      </c>
      <c r="AP348">
        <v>0.38417415118548298</v>
      </c>
      <c r="AQ348">
        <v>0.30226314597776699</v>
      </c>
      <c r="AR348">
        <v>0.31356270283674897</v>
      </c>
      <c r="AS348">
        <v>1</v>
      </c>
      <c r="AT348">
        <v>6.5362761059657402E-3</v>
      </c>
      <c r="AU348">
        <v>2.3432802342855799</v>
      </c>
      <c r="AV348">
        <f t="shared" si="30"/>
        <v>845383040797.18005</v>
      </c>
      <c r="AW348">
        <f t="shared" si="31"/>
        <v>324774312124.85925</v>
      </c>
      <c r="AX348">
        <f t="shared" si="32"/>
        <v>255528137467.60696</v>
      </c>
      <c r="AY348">
        <f t="shared" si="33"/>
        <v>265080591204.71381</v>
      </c>
      <c r="AZ348" cm="1">
        <f t="array" ref="AZ348">_xlfn.IFS(E348="H",AW348*AI348-AV348,E348="D",AX348*AJ348-AV348,E348="A",AY348*AK348-AV348)</f>
        <v>5525656969.9511719</v>
      </c>
      <c r="BA348">
        <f t="shared" si="34"/>
        <v>71353711166.579956</v>
      </c>
    </row>
    <row r="349" spans="1:53" x14ac:dyDescent="0.2">
      <c r="A349">
        <v>13</v>
      </c>
      <c r="B349" t="s">
        <v>67</v>
      </c>
      <c r="C349" s="1">
        <v>44507</v>
      </c>
      <c r="D349" t="s">
        <v>68</v>
      </c>
      <c r="E349" t="s">
        <v>74</v>
      </c>
      <c r="F349" t="s">
        <v>236</v>
      </c>
      <c r="G349" t="s">
        <v>161</v>
      </c>
      <c r="H349">
        <v>50534</v>
      </c>
      <c r="I349" t="s">
        <v>306</v>
      </c>
      <c r="J349" t="s">
        <v>260</v>
      </c>
      <c r="K349" t="s">
        <v>54</v>
      </c>
      <c r="L349">
        <v>2021</v>
      </c>
      <c r="M349">
        <v>2.5</v>
      </c>
      <c r="N349">
        <v>2.75</v>
      </c>
      <c r="O349">
        <v>1.25</v>
      </c>
      <c r="P349">
        <v>0.5</v>
      </c>
      <c r="Q349">
        <v>3</v>
      </c>
      <c r="R349">
        <v>3.3</v>
      </c>
      <c r="S349">
        <v>2.4500000000000002</v>
      </c>
      <c r="T349">
        <v>2.9</v>
      </c>
      <c r="U349">
        <v>3.3</v>
      </c>
      <c r="V349">
        <v>2.4</v>
      </c>
      <c r="W349">
        <v>2.9</v>
      </c>
      <c r="X349">
        <v>3.25</v>
      </c>
      <c r="Y349">
        <v>2.5</v>
      </c>
      <c r="Z349">
        <v>3.07</v>
      </c>
      <c r="AA349">
        <v>3.35</v>
      </c>
      <c r="AB349">
        <v>2.5099999999999998</v>
      </c>
      <c r="AC349">
        <v>2.9</v>
      </c>
      <c r="AD349">
        <v>3.2</v>
      </c>
      <c r="AE349">
        <v>2.5</v>
      </c>
      <c r="AF349">
        <v>2.8</v>
      </c>
      <c r="AG349">
        <v>3.2</v>
      </c>
      <c r="AH349">
        <v>2.4500000000000002</v>
      </c>
      <c r="AI349">
        <v>3.11</v>
      </c>
      <c r="AJ349">
        <v>3.4</v>
      </c>
      <c r="AK349">
        <v>2.63</v>
      </c>
      <c r="AL349">
        <v>2.94</v>
      </c>
      <c r="AM349">
        <v>3.28</v>
      </c>
      <c r="AN349">
        <v>2.4900000000000002</v>
      </c>
      <c r="AO349">
        <v>1</v>
      </c>
      <c r="AP349">
        <v>0.32287066758619598</v>
      </c>
      <c r="AQ349">
        <v>0.29533169888031502</v>
      </c>
      <c r="AR349">
        <v>0.381797633533487</v>
      </c>
      <c r="AS349">
        <v>1</v>
      </c>
      <c r="AT349">
        <v>4.12777619307247E-3</v>
      </c>
      <c r="AU349">
        <v>2.3474080104786501</v>
      </c>
      <c r="AV349">
        <f t="shared" si="30"/>
        <v>916736751963.76001</v>
      </c>
      <c r="AW349">
        <f t="shared" si="31"/>
        <v>295987407107.341</v>
      </c>
      <c r="AX349">
        <f t="shared" si="32"/>
        <v>270741422383.47961</v>
      </c>
      <c r="AY349">
        <f t="shared" si="33"/>
        <v>350007922472.93939</v>
      </c>
      <c r="AZ349" cm="1">
        <f t="array" ref="AZ349">_xlfn.IFS(E349="H",AW349*AI349-AV349,E349="D",AX349*AJ349-AV349,E349="A",AY349*AK349-AV349)</f>
        <v>3784084140.0705566</v>
      </c>
      <c r="BA349">
        <f t="shared" si="34"/>
        <v>75137795306.650513</v>
      </c>
    </row>
    <row r="350" spans="1:53" x14ac:dyDescent="0.2">
      <c r="A350">
        <v>13</v>
      </c>
      <c r="B350" t="s">
        <v>67</v>
      </c>
      <c r="C350" s="1">
        <v>44507</v>
      </c>
      <c r="D350" t="s">
        <v>183</v>
      </c>
      <c r="E350" t="s">
        <v>49</v>
      </c>
      <c r="F350" t="s">
        <v>217</v>
      </c>
      <c r="G350" t="s">
        <v>434</v>
      </c>
      <c r="H350" t="s">
        <v>256</v>
      </c>
      <c r="I350" t="s">
        <v>425</v>
      </c>
      <c r="J350" t="s">
        <v>435</v>
      </c>
      <c r="K350" t="s">
        <v>54</v>
      </c>
      <c r="L350">
        <v>2021</v>
      </c>
      <c r="M350">
        <v>0.5</v>
      </c>
      <c r="N350">
        <v>1</v>
      </c>
      <c r="O350">
        <v>0.25</v>
      </c>
      <c r="P350">
        <v>0.5</v>
      </c>
      <c r="Q350">
        <v>2.5</v>
      </c>
      <c r="R350">
        <v>3.3</v>
      </c>
      <c r="S350">
        <v>2.9</v>
      </c>
      <c r="T350">
        <v>2.5499999999999998</v>
      </c>
      <c r="U350">
        <v>3.25</v>
      </c>
      <c r="V350">
        <v>2.8</v>
      </c>
      <c r="W350">
        <v>2.5</v>
      </c>
      <c r="X350">
        <v>3.35</v>
      </c>
      <c r="Y350">
        <v>2.8</v>
      </c>
      <c r="Z350">
        <v>2.58</v>
      </c>
      <c r="AA350">
        <v>3.43</v>
      </c>
      <c r="AB350">
        <v>2.91</v>
      </c>
      <c r="AC350">
        <v>2.4500000000000002</v>
      </c>
      <c r="AD350">
        <v>3.4</v>
      </c>
      <c r="AE350">
        <v>2.7</v>
      </c>
      <c r="AF350">
        <v>2.4500000000000002</v>
      </c>
      <c r="AG350">
        <v>3.4</v>
      </c>
      <c r="AH350">
        <v>2.8</v>
      </c>
      <c r="AI350">
        <v>2.6</v>
      </c>
      <c r="AJ350">
        <v>3.7</v>
      </c>
      <c r="AK350">
        <v>2.98</v>
      </c>
      <c r="AL350">
        <v>2.5099999999999998</v>
      </c>
      <c r="AM350">
        <v>3.37</v>
      </c>
      <c r="AN350">
        <v>2.83</v>
      </c>
      <c r="AO350">
        <v>1</v>
      </c>
      <c r="AP350">
        <v>0.38832147636824599</v>
      </c>
      <c r="AQ350">
        <v>0.27287455096147001</v>
      </c>
      <c r="AR350">
        <v>0.33880397267028201</v>
      </c>
      <c r="AS350">
        <v>1</v>
      </c>
      <c r="AT350">
        <v>9.6358385574417602E-3</v>
      </c>
      <c r="AU350">
        <v>2.3570438490360899</v>
      </c>
      <c r="AV350">
        <f t="shared" si="30"/>
        <v>991874547270.41052</v>
      </c>
      <c r="AW350">
        <f t="shared" si="31"/>
        <v>385166188568.13226</v>
      </c>
      <c r="AX350">
        <f t="shared" si="32"/>
        <v>270657321696.52533</v>
      </c>
      <c r="AY350">
        <f t="shared" si="33"/>
        <v>336051037005.75299</v>
      </c>
      <c r="AZ350" cm="1">
        <f t="array" ref="AZ350">_xlfn.IFS(E350="H",AW350*AI350-AV350,E350="D",AX350*AJ350-AV350,E350="A",AY350*AK350-AV350)</f>
        <v>9557543006.7333984</v>
      </c>
      <c r="BA350">
        <f t="shared" si="34"/>
        <v>84695338313.383911</v>
      </c>
    </row>
    <row r="351" spans="1:53" x14ac:dyDescent="0.2">
      <c r="A351">
        <v>12</v>
      </c>
      <c r="B351" t="s">
        <v>55</v>
      </c>
      <c r="C351" s="1">
        <v>44520</v>
      </c>
      <c r="D351" t="s">
        <v>73</v>
      </c>
      <c r="E351" t="s">
        <v>57</v>
      </c>
      <c r="F351" t="s">
        <v>417</v>
      </c>
      <c r="G351" t="s">
        <v>261</v>
      </c>
      <c r="H351">
        <v>19801</v>
      </c>
      <c r="I351" t="s">
        <v>436</v>
      </c>
      <c r="J351" t="s">
        <v>78</v>
      </c>
      <c r="K351" t="s">
        <v>54</v>
      </c>
      <c r="L351">
        <v>2021</v>
      </c>
      <c r="M351">
        <v>0.25</v>
      </c>
      <c r="N351">
        <v>0.5</v>
      </c>
      <c r="O351">
        <v>1.5</v>
      </c>
      <c r="P351">
        <v>1.25</v>
      </c>
      <c r="Q351">
        <v>4.2</v>
      </c>
      <c r="R351">
        <v>3.5</v>
      </c>
      <c r="S351">
        <v>1.9</v>
      </c>
      <c r="T351">
        <v>4.2</v>
      </c>
      <c r="U351">
        <v>3.5</v>
      </c>
      <c r="V351">
        <v>1.85</v>
      </c>
      <c r="W351">
        <v>4</v>
      </c>
      <c r="X351">
        <v>3.4</v>
      </c>
      <c r="Y351">
        <v>1.97</v>
      </c>
      <c r="Z351">
        <v>4.13</v>
      </c>
      <c r="AA351">
        <v>3.48</v>
      </c>
      <c r="AB351">
        <v>2.0299999999999998</v>
      </c>
      <c r="AC351">
        <v>3.9</v>
      </c>
      <c r="AD351">
        <v>3.4</v>
      </c>
      <c r="AE351">
        <v>1.95</v>
      </c>
      <c r="AF351">
        <v>3.8</v>
      </c>
      <c r="AG351">
        <v>3.5</v>
      </c>
      <c r="AH351">
        <v>1.95</v>
      </c>
      <c r="AI351">
        <v>4.2</v>
      </c>
      <c r="AJ351">
        <v>3.68</v>
      </c>
      <c r="AK351">
        <v>2.0499999999999998</v>
      </c>
      <c r="AL351">
        <v>4.0199999999999996</v>
      </c>
      <c r="AM351">
        <v>3.47</v>
      </c>
      <c r="AN351">
        <v>1.97</v>
      </c>
      <c r="AO351">
        <v>1</v>
      </c>
      <c r="AP351">
        <v>0.23865865232521299</v>
      </c>
      <c r="AQ351">
        <v>0.27238215754507999</v>
      </c>
      <c r="AR351">
        <v>0.48895919012970501</v>
      </c>
      <c r="AS351">
        <v>1</v>
      </c>
      <c r="AT351">
        <v>2.3663397658968402E-3</v>
      </c>
      <c r="AU351">
        <v>2.35941018880199</v>
      </c>
      <c r="AV351">
        <f t="shared" si="30"/>
        <v>1076569885583.7944</v>
      </c>
      <c r="AW351">
        <f t="shared" si="31"/>
        <v>256932718027.33771</v>
      </c>
      <c r="AX351">
        <f t="shared" si="32"/>
        <v>293238428183.37457</v>
      </c>
      <c r="AY351">
        <f t="shared" si="33"/>
        <v>526398739373.08215</v>
      </c>
      <c r="AZ351" cm="1">
        <f t="array" ref="AZ351">_xlfn.IFS(E351="H",AW351*AI351-AV351,E351="D",AX351*AJ351-AV351,E351="A",AY351*AK351-AV351)</f>
        <v>2547530131.0240479</v>
      </c>
      <c r="BA351">
        <f t="shared" si="34"/>
        <v>87242868444.407959</v>
      </c>
    </row>
    <row r="352" spans="1:53" x14ac:dyDescent="0.2">
      <c r="A352">
        <v>13</v>
      </c>
      <c r="B352" t="s">
        <v>55</v>
      </c>
      <c r="C352" s="1">
        <v>44520</v>
      </c>
      <c r="D352" t="s">
        <v>107</v>
      </c>
      <c r="E352" t="s">
        <v>74</v>
      </c>
      <c r="F352" t="s">
        <v>184</v>
      </c>
      <c r="G352" t="s">
        <v>132</v>
      </c>
      <c r="H352">
        <v>45000</v>
      </c>
      <c r="I352" t="s">
        <v>110</v>
      </c>
      <c r="J352" t="s">
        <v>398</v>
      </c>
      <c r="K352" t="s">
        <v>54</v>
      </c>
      <c r="L352">
        <v>2021</v>
      </c>
      <c r="M352">
        <v>3</v>
      </c>
      <c r="N352">
        <v>2.5</v>
      </c>
      <c r="O352">
        <v>1.75</v>
      </c>
      <c r="P352">
        <v>1.5</v>
      </c>
      <c r="Q352">
        <v>3</v>
      </c>
      <c r="R352">
        <v>3.4</v>
      </c>
      <c r="S352">
        <v>2.35</v>
      </c>
      <c r="T352">
        <v>3</v>
      </c>
      <c r="U352">
        <v>3.4</v>
      </c>
      <c r="V352">
        <v>2.2999999999999998</v>
      </c>
      <c r="W352">
        <v>3</v>
      </c>
      <c r="X352">
        <v>3.4</v>
      </c>
      <c r="Y352">
        <v>2.35</v>
      </c>
      <c r="Z352">
        <v>3.16</v>
      </c>
      <c r="AA352">
        <v>3.43</v>
      </c>
      <c r="AB352">
        <v>2.42</v>
      </c>
      <c r="AC352">
        <v>3.1</v>
      </c>
      <c r="AD352">
        <v>3.3</v>
      </c>
      <c r="AE352">
        <v>2.35</v>
      </c>
      <c r="AF352">
        <v>3.1</v>
      </c>
      <c r="AG352">
        <v>3.2</v>
      </c>
      <c r="AH352">
        <v>2.38</v>
      </c>
      <c r="AI352">
        <v>3.18</v>
      </c>
      <c r="AJ352">
        <v>3.65</v>
      </c>
      <c r="AK352">
        <v>2.48</v>
      </c>
      <c r="AL352">
        <v>3.04</v>
      </c>
      <c r="AM352">
        <v>3.41</v>
      </c>
      <c r="AN352">
        <v>2.35</v>
      </c>
      <c r="AO352">
        <v>1</v>
      </c>
      <c r="AP352">
        <v>0.31710888619532301</v>
      </c>
      <c r="AQ352">
        <v>0.27627568715099399</v>
      </c>
      <c r="AR352">
        <v>0.406615426653681</v>
      </c>
      <c r="AS352">
        <v>1</v>
      </c>
      <c r="AT352">
        <v>8.4062581011301596E-3</v>
      </c>
      <c r="AU352">
        <v>2.3678164469031202</v>
      </c>
      <c r="AV352">
        <f t="shared" si="30"/>
        <v>1163812754028.2024</v>
      </c>
      <c r="AW352">
        <f t="shared" si="31"/>
        <v>369055366169.79578</v>
      </c>
      <c r="AX352">
        <f t="shared" si="32"/>
        <v>321533168334.23303</v>
      </c>
      <c r="AY352">
        <f t="shared" si="33"/>
        <v>473224219524.17365</v>
      </c>
      <c r="AZ352" cm="1">
        <f t="array" ref="AZ352">_xlfn.IFS(E352="H",AW352*AI352-AV352,E352="D",AX352*AJ352-AV352,E352="A",AY352*AK352-AV352)</f>
        <v>9783310391.748291</v>
      </c>
      <c r="BA352">
        <f t="shared" si="34"/>
        <v>97026178836.15625</v>
      </c>
    </row>
    <row r="353" spans="1:53" x14ac:dyDescent="0.2">
      <c r="A353">
        <v>14</v>
      </c>
      <c r="B353" t="s">
        <v>55</v>
      </c>
      <c r="C353" s="1">
        <v>44520</v>
      </c>
      <c r="D353" t="s">
        <v>378</v>
      </c>
      <c r="E353" t="s">
        <v>57</v>
      </c>
      <c r="F353" t="s">
        <v>161</v>
      </c>
      <c r="G353" t="s">
        <v>286</v>
      </c>
      <c r="H353">
        <v>25208</v>
      </c>
      <c r="I353" t="s">
        <v>163</v>
      </c>
      <c r="J353" t="s">
        <v>430</v>
      </c>
      <c r="K353" t="s">
        <v>54</v>
      </c>
      <c r="L353">
        <v>2021</v>
      </c>
      <c r="M353">
        <v>3</v>
      </c>
      <c r="N353">
        <v>3</v>
      </c>
      <c r="O353">
        <v>1</v>
      </c>
      <c r="P353">
        <v>0.75</v>
      </c>
      <c r="Q353">
        <v>1.44</v>
      </c>
      <c r="R353">
        <v>4.33</v>
      </c>
      <c r="S353">
        <v>8.5</v>
      </c>
      <c r="T353">
        <v>1.4</v>
      </c>
      <c r="U353">
        <v>4.33</v>
      </c>
      <c r="V353">
        <v>9.25</v>
      </c>
      <c r="W353">
        <v>1.45</v>
      </c>
      <c r="X353">
        <v>4.4000000000000004</v>
      </c>
      <c r="Y353">
        <v>7.5</v>
      </c>
      <c r="Z353">
        <v>1.42</v>
      </c>
      <c r="AA353">
        <v>4.67</v>
      </c>
      <c r="AB353">
        <v>9.34</v>
      </c>
      <c r="AC353">
        <v>1.42</v>
      </c>
      <c r="AD353">
        <v>4.2</v>
      </c>
      <c r="AE353">
        <v>8.5</v>
      </c>
      <c r="AF353">
        <v>1.4</v>
      </c>
      <c r="AG353">
        <v>4.2</v>
      </c>
      <c r="AH353">
        <v>8</v>
      </c>
      <c r="AI353">
        <v>1.47</v>
      </c>
      <c r="AJ353">
        <v>4.75</v>
      </c>
      <c r="AK353">
        <v>9.34</v>
      </c>
      <c r="AL353">
        <v>1.42</v>
      </c>
      <c r="AM353">
        <v>4.46</v>
      </c>
      <c r="AN353">
        <v>8.44</v>
      </c>
      <c r="AO353">
        <v>1</v>
      </c>
      <c r="AP353">
        <v>0.68172772994577202</v>
      </c>
      <c r="AQ353">
        <v>0.21097679221479601</v>
      </c>
      <c r="AR353">
        <v>0.10729547783943</v>
      </c>
      <c r="AS353">
        <v>0.999999999999999</v>
      </c>
      <c r="AT353">
        <v>2.1397630202850599E-3</v>
      </c>
      <c r="AU353">
        <v>2.3699562099234002</v>
      </c>
      <c r="AV353">
        <f t="shared" si="30"/>
        <v>1260838932864.3586</v>
      </c>
      <c r="AW353">
        <f t="shared" si="31"/>
        <v>859548863528.86902</v>
      </c>
      <c r="AX353">
        <f t="shared" si="32"/>
        <v>266007753555.24997</v>
      </c>
      <c r="AY353">
        <f t="shared" si="33"/>
        <v>135282315780.23956</v>
      </c>
      <c r="AZ353" cm="1">
        <f t="array" ref="AZ353">_xlfn.IFS(E353="H",AW353*AI353-AV353,E353="D",AX353*AJ353-AV353,E353="A",AY353*AK353-AV353)</f>
        <v>2697896523.0786133</v>
      </c>
      <c r="BA353">
        <f t="shared" si="34"/>
        <v>99724075359.234863</v>
      </c>
    </row>
    <row r="354" spans="1:53" x14ac:dyDescent="0.2">
      <c r="A354">
        <v>14</v>
      </c>
      <c r="B354" t="s">
        <v>55</v>
      </c>
      <c r="C354" s="1">
        <v>44520</v>
      </c>
      <c r="D354" t="s">
        <v>82</v>
      </c>
      <c r="E354" t="s">
        <v>49</v>
      </c>
      <c r="F354" t="s">
        <v>70</v>
      </c>
      <c r="G354" t="s">
        <v>58</v>
      </c>
      <c r="H354">
        <v>47777</v>
      </c>
      <c r="I354" t="s">
        <v>333</v>
      </c>
      <c r="J354" t="s">
        <v>437</v>
      </c>
      <c r="K354" t="s">
        <v>54</v>
      </c>
      <c r="L354">
        <v>2021</v>
      </c>
      <c r="M354">
        <v>3</v>
      </c>
      <c r="N354">
        <v>2</v>
      </c>
      <c r="O354">
        <v>1</v>
      </c>
      <c r="P354">
        <v>1.5</v>
      </c>
      <c r="Q354">
        <v>1.22</v>
      </c>
      <c r="R354">
        <v>6.5</v>
      </c>
      <c r="S354">
        <v>12</v>
      </c>
      <c r="T354">
        <v>1.22</v>
      </c>
      <c r="U354">
        <v>6.75</v>
      </c>
      <c r="V354">
        <v>12</v>
      </c>
      <c r="W354">
        <v>1.25</v>
      </c>
      <c r="X354">
        <v>6</v>
      </c>
      <c r="Y354">
        <v>12</v>
      </c>
      <c r="Z354">
        <v>1.23</v>
      </c>
      <c r="AA354">
        <v>6.89</v>
      </c>
      <c r="AB354">
        <v>13.3</v>
      </c>
      <c r="AC354">
        <v>1.22</v>
      </c>
      <c r="AD354">
        <v>5.8</v>
      </c>
      <c r="AE354">
        <v>12</v>
      </c>
      <c r="AF354">
        <v>1.22</v>
      </c>
      <c r="AG354">
        <v>6</v>
      </c>
      <c r="AH354">
        <v>13</v>
      </c>
      <c r="AI354">
        <v>1.29</v>
      </c>
      <c r="AJ354">
        <v>7.1</v>
      </c>
      <c r="AK354">
        <v>14</v>
      </c>
      <c r="AL354">
        <v>1.24</v>
      </c>
      <c r="AM354">
        <v>6.35</v>
      </c>
      <c r="AN354">
        <v>11.92</v>
      </c>
      <c r="AO354">
        <v>1</v>
      </c>
      <c r="AP354">
        <v>0.78503226214075295</v>
      </c>
      <c r="AQ354">
        <v>0.14263262227627699</v>
      </c>
      <c r="AR354">
        <v>7.2335115582969303E-2</v>
      </c>
      <c r="AS354">
        <v>1</v>
      </c>
      <c r="AT354">
        <v>1.26916181615714E-2</v>
      </c>
      <c r="AU354">
        <v>2.3826478280849699</v>
      </c>
      <c r="AV354">
        <f t="shared" si="30"/>
        <v>1360563008223.5935</v>
      </c>
      <c r="AW354">
        <f t="shared" si="31"/>
        <v>1068085856130.7955</v>
      </c>
      <c r="AX354">
        <f t="shared" si="32"/>
        <v>194060669635.03186</v>
      </c>
      <c r="AY354">
        <f t="shared" si="33"/>
        <v>98416482457.766144</v>
      </c>
      <c r="AZ354" cm="1">
        <f t="array" ref="AZ354">_xlfn.IFS(E354="H",AW354*AI354-AV354,E354="D",AX354*AJ354-AV354,E354="A",AY354*AK354-AV354)</f>
        <v>17267746185.132812</v>
      </c>
      <c r="BA354">
        <f t="shared" si="34"/>
        <v>116991821544.36768</v>
      </c>
    </row>
    <row r="355" spans="1:53" x14ac:dyDescent="0.2">
      <c r="A355">
        <v>12</v>
      </c>
      <c r="B355" t="s">
        <v>67</v>
      </c>
      <c r="C355" s="1">
        <v>44521</v>
      </c>
      <c r="D355" t="s">
        <v>125</v>
      </c>
      <c r="E355" t="s">
        <v>49</v>
      </c>
      <c r="F355" t="s">
        <v>101</v>
      </c>
      <c r="G355" t="s">
        <v>252</v>
      </c>
      <c r="H355">
        <v>52571</v>
      </c>
      <c r="I355" t="s">
        <v>290</v>
      </c>
      <c r="J355" t="s">
        <v>94</v>
      </c>
      <c r="K355" t="s">
        <v>54</v>
      </c>
      <c r="L355">
        <v>2021</v>
      </c>
      <c r="M355">
        <v>1.75</v>
      </c>
      <c r="N355">
        <v>1.75</v>
      </c>
      <c r="O355">
        <v>1</v>
      </c>
      <c r="P355">
        <v>1</v>
      </c>
      <c r="Q355">
        <v>1.1399999999999999</v>
      </c>
      <c r="R355">
        <v>8</v>
      </c>
      <c r="S355">
        <v>19</v>
      </c>
      <c r="T355">
        <v>1.1599999999999999</v>
      </c>
      <c r="U355">
        <v>8</v>
      </c>
      <c r="V355">
        <v>17.5</v>
      </c>
      <c r="W355">
        <v>1.2</v>
      </c>
      <c r="X355">
        <v>7</v>
      </c>
      <c r="Y355">
        <v>14</v>
      </c>
      <c r="Z355">
        <v>1.19</v>
      </c>
      <c r="AA355">
        <v>7.71</v>
      </c>
      <c r="AB355">
        <v>17.04</v>
      </c>
      <c r="AC355">
        <v>1.17</v>
      </c>
      <c r="AD355">
        <v>7</v>
      </c>
      <c r="AE355">
        <v>17</v>
      </c>
      <c r="AF355">
        <v>1.17</v>
      </c>
      <c r="AG355">
        <v>7</v>
      </c>
      <c r="AH355">
        <v>15</v>
      </c>
      <c r="AI355">
        <v>1.22</v>
      </c>
      <c r="AJ355">
        <v>8.3000000000000007</v>
      </c>
      <c r="AK355">
        <v>19</v>
      </c>
      <c r="AL355">
        <v>1.18</v>
      </c>
      <c r="AM355">
        <v>7.56</v>
      </c>
      <c r="AN355">
        <v>15.95</v>
      </c>
      <c r="AO355">
        <v>1</v>
      </c>
      <c r="AP355">
        <v>0.82562851428750905</v>
      </c>
      <c r="AQ355">
        <v>0.121357444268766</v>
      </c>
      <c r="AR355">
        <v>5.3014041443724201E-2</v>
      </c>
      <c r="AS355">
        <v>1</v>
      </c>
      <c r="AT355">
        <v>7.2667874307614701E-3</v>
      </c>
      <c r="AU355">
        <v>2.38991461551573</v>
      </c>
      <c r="AV355">
        <f t="shared" si="30"/>
        <v>1477554829767.9612</v>
      </c>
      <c r="AW355">
        <f t="shared" si="31"/>
        <v>1219911398879.6555</v>
      </c>
      <c r="AX355">
        <f t="shared" si="32"/>
        <v>179312277907.61197</v>
      </c>
      <c r="AY355">
        <f t="shared" si="33"/>
        <v>78331152980.693665</v>
      </c>
      <c r="AZ355" cm="1">
        <f t="array" ref="AZ355">_xlfn.IFS(E355="H",AW355*AI355-AV355,E355="D",AX355*AJ355-AV355,E355="A",AY355*AK355-AV355)</f>
        <v>10737076865.218506</v>
      </c>
      <c r="BA355">
        <f t="shared" si="34"/>
        <v>127728898409.58618</v>
      </c>
    </row>
    <row r="356" spans="1:53" x14ac:dyDescent="0.2">
      <c r="A356">
        <v>14</v>
      </c>
      <c r="B356" t="s">
        <v>67</v>
      </c>
      <c r="C356" s="1">
        <v>44521</v>
      </c>
      <c r="D356" t="s">
        <v>378</v>
      </c>
      <c r="E356" t="s">
        <v>74</v>
      </c>
      <c r="F356" t="s">
        <v>287</v>
      </c>
      <c r="G356" t="s">
        <v>271</v>
      </c>
      <c r="H356">
        <v>17460</v>
      </c>
      <c r="I356" t="s">
        <v>312</v>
      </c>
      <c r="J356" t="s">
        <v>89</v>
      </c>
      <c r="K356" t="s">
        <v>54</v>
      </c>
      <c r="L356">
        <v>2021</v>
      </c>
      <c r="M356">
        <v>1</v>
      </c>
      <c r="N356">
        <v>1.25</v>
      </c>
      <c r="O356">
        <v>2.25</v>
      </c>
      <c r="P356">
        <v>1.75</v>
      </c>
      <c r="Q356">
        <v>7</v>
      </c>
      <c r="R356">
        <v>4.5</v>
      </c>
      <c r="S356">
        <v>1.45</v>
      </c>
      <c r="T356">
        <v>7.75</v>
      </c>
      <c r="U356">
        <v>4.33</v>
      </c>
      <c r="V356">
        <v>1.44</v>
      </c>
      <c r="W356">
        <v>6.25</v>
      </c>
      <c r="X356">
        <v>4.5999999999999996</v>
      </c>
      <c r="Y356">
        <v>1.5</v>
      </c>
      <c r="Z356">
        <v>7.56</v>
      </c>
      <c r="AA356">
        <v>4.63</v>
      </c>
      <c r="AB356">
        <v>1.48</v>
      </c>
      <c r="AC356">
        <v>7</v>
      </c>
      <c r="AD356">
        <v>4.2</v>
      </c>
      <c r="AE356">
        <v>1.47</v>
      </c>
      <c r="AF356">
        <v>6</v>
      </c>
      <c r="AG356">
        <v>4.5</v>
      </c>
      <c r="AH356">
        <v>1.45</v>
      </c>
      <c r="AI356">
        <v>7.7</v>
      </c>
      <c r="AJ356">
        <v>4.79</v>
      </c>
      <c r="AK356">
        <v>1.52</v>
      </c>
      <c r="AL356">
        <v>6.97</v>
      </c>
      <c r="AM356">
        <v>4.5</v>
      </c>
      <c r="AN356">
        <v>1.47</v>
      </c>
      <c r="AO356">
        <v>1</v>
      </c>
      <c r="AP356">
        <v>0.13032193857642499</v>
      </c>
      <c r="AQ356">
        <v>0.209494556793</v>
      </c>
      <c r="AR356">
        <v>0.66018350463057396</v>
      </c>
      <c r="AS356">
        <v>0.999999999999999</v>
      </c>
      <c r="AT356">
        <v>3.4789270384727399E-3</v>
      </c>
      <c r="AU356">
        <v>2.3933935425542101</v>
      </c>
      <c r="AV356">
        <f t="shared" si="30"/>
        <v>1605283728177.5474</v>
      </c>
      <c r="AW356">
        <f t="shared" si="31"/>
        <v>209203687421.28897</v>
      </c>
      <c r="AX356">
        <f t="shared" si="32"/>
        <v>336298203161.57098</v>
      </c>
      <c r="AY356">
        <f t="shared" si="33"/>
        <v>1059781837594.6873</v>
      </c>
      <c r="AZ356" cm="1">
        <f t="array" ref="AZ356">_xlfn.IFS(E356="H",AW356*AI356-AV356,E356="D",AX356*AJ356-AV356,E356="A",AY356*AK356-AV356)</f>
        <v>5584664966.3771973</v>
      </c>
      <c r="BA356">
        <f t="shared" si="34"/>
        <v>133313563375.96338</v>
      </c>
    </row>
    <row r="357" spans="1:53" x14ac:dyDescent="0.2">
      <c r="A357">
        <v>14</v>
      </c>
      <c r="B357" t="s">
        <v>67</v>
      </c>
      <c r="C357" s="1">
        <v>44521</v>
      </c>
      <c r="D357" t="s">
        <v>183</v>
      </c>
      <c r="E357" t="s">
        <v>57</v>
      </c>
      <c r="F357" t="s">
        <v>79</v>
      </c>
      <c r="G357" t="s">
        <v>63</v>
      </c>
      <c r="H357">
        <v>16077</v>
      </c>
      <c r="I357" t="s">
        <v>426</v>
      </c>
      <c r="J357" t="s">
        <v>53</v>
      </c>
      <c r="K357" t="s">
        <v>54</v>
      </c>
      <c r="L357">
        <v>2021</v>
      </c>
      <c r="M357">
        <v>0.25</v>
      </c>
      <c r="N357">
        <v>0.5</v>
      </c>
      <c r="O357">
        <v>1.25</v>
      </c>
      <c r="P357">
        <v>1.5</v>
      </c>
      <c r="Q357">
        <v>2.37</v>
      </c>
      <c r="R357">
        <v>3.4</v>
      </c>
      <c r="S357">
        <v>2.9</v>
      </c>
      <c r="T357">
        <v>2.35</v>
      </c>
      <c r="U357">
        <v>3.25</v>
      </c>
      <c r="V357">
        <v>3.1</v>
      </c>
      <c r="W357">
        <v>2.4500000000000002</v>
      </c>
      <c r="X357">
        <v>3.3</v>
      </c>
      <c r="Y357">
        <v>2.95</v>
      </c>
      <c r="Z357">
        <v>2.46</v>
      </c>
      <c r="AA357">
        <v>3.31</v>
      </c>
      <c r="AB357">
        <v>3.18</v>
      </c>
      <c r="AC357">
        <v>2.35</v>
      </c>
      <c r="AD357">
        <v>3.25</v>
      </c>
      <c r="AE357">
        <v>3</v>
      </c>
      <c r="AF357">
        <v>2.38</v>
      </c>
      <c r="AG357">
        <v>3.25</v>
      </c>
      <c r="AH357">
        <v>3</v>
      </c>
      <c r="AI357">
        <v>2.52</v>
      </c>
      <c r="AJ357">
        <v>3.51</v>
      </c>
      <c r="AK357">
        <v>3.2</v>
      </c>
      <c r="AL357">
        <v>2.42</v>
      </c>
      <c r="AM357">
        <v>3.29</v>
      </c>
      <c r="AN357">
        <v>3.02</v>
      </c>
      <c r="AO357">
        <v>1</v>
      </c>
      <c r="AP357">
        <v>0.39913010106178798</v>
      </c>
      <c r="AQ357">
        <v>0.28655494435205298</v>
      </c>
      <c r="AR357">
        <v>0.31431495458615799</v>
      </c>
      <c r="AS357">
        <v>1</v>
      </c>
      <c r="AT357">
        <v>5.80785467570676E-3</v>
      </c>
      <c r="AU357">
        <v>2.39920139722991</v>
      </c>
      <c r="AV357">
        <f t="shared" si="30"/>
        <v>1738597291553.5107</v>
      </c>
      <c r="AW357">
        <f t="shared" si="31"/>
        <v>693926512683.50427</v>
      </c>
      <c r="AX357">
        <f t="shared" si="32"/>
        <v>498203650131.74677</v>
      </c>
      <c r="AY357">
        <f t="shared" si="33"/>
        <v>546467128738.2597</v>
      </c>
      <c r="AZ357" cm="1">
        <f t="array" ref="AZ357">_xlfn.IFS(E357="H",AW357*AI357-AV357,E357="D",AX357*AJ357-AV357,E357="A",AY357*AK357-AV357)</f>
        <v>10097520408.92041</v>
      </c>
      <c r="BA357">
        <f t="shared" si="34"/>
        <v>143411083784.88379</v>
      </c>
    </row>
    <row r="358" spans="1:53" x14ac:dyDescent="0.2">
      <c r="A358">
        <v>13</v>
      </c>
      <c r="B358" t="s">
        <v>198</v>
      </c>
      <c r="C358" s="1">
        <v>44522</v>
      </c>
      <c r="D358" t="s">
        <v>190</v>
      </c>
      <c r="E358" t="s">
        <v>49</v>
      </c>
      <c r="F358" t="s">
        <v>142</v>
      </c>
      <c r="G358" t="s">
        <v>438</v>
      </c>
      <c r="H358">
        <v>13797</v>
      </c>
      <c r="I358" t="s">
        <v>320</v>
      </c>
      <c r="J358" t="s">
        <v>439</v>
      </c>
      <c r="K358" t="s">
        <v>54</v>
      </c>
      <c r="L358">
        <v>2021</v>
      </c>
      <c r="M358">
        <v>3</v>
      </c>
      <c r="N358">
        <v>3.25</v>
      </c>
      <c r="O358">
        <v>2.25</v>
      </c>
      <c r="P358">
        <v>2</v>
      </c>
      <c r="Q358">
        <v>1.7</v>
      </c>
      <c r="R358">
        <v>4</v>
      </c>
      <c r="S358">
        <v>4.5</v>
      </c>
      <c r="T358">
        <v>1.73</v>
      </c>
      <c r="U358">
        <v>3.9</v>
      </c>
      <c r="V358">
        <v>4.5</v>
      </c>
      <c r="W358">
        <v>1.75</v>
      </c>
      <c r="X358">
        <v>4.0999999999999996</v>
      </c>
      <c r="Y358">
        <v>4.3</v>
      </c>
      <c r="Z358">
        <v>1.79</v>
      </c>
      <c r="AA358">
        <v>4</v>
      </c>
      <c r="AB358">
        <v>4.6399999999999997</v>
      </c>
      <c r="AC358">
        <v>1.73</v>
      </c>
      <c r="AD358">
        <v>4</v>
      </c>
      <c r="AE358">
        <v>4.5</v>
      </c>
      <c r="AF358">
        <v>1.73</v>
      </c>
      <c r="AG358">
        <v>3.8</v>
      </c>
      <c r="AH358">
        <v>4.5999999999999996</v>
      </c>
      <c r="AI358">
        <v>1.82</v>
      </c>
      <c r="AJ358">
        <v>4.28</v>
      </c>
      <c r="AK358">
        <v>4.7</v>
      </c>
      <c r="AL358">
        <v>1.76</v>
      </c>
      <c r="AM358">
        <v>3.99</v>
      </c>
      <c r="AN358">
        <v>4.3899999999999997</v>
      </c>
      <c r="AO358">
        <v>1</v>
      </c>
      <c r="AP358">
        <v>0.55173397404250102</v>
      </c>
      <c r="AQ358">
        <v>0.23461584877508199</v>
      </c>
      <c r="AR358">
        <v>0.213650177182415</v>
      </c>
      <c r="AS358">
        <v>1</v>
      </c>
      <c r="AT358">
        <v>4.1558327573532E-3</v>
      </c>
      <c r="AU358">
        <v>2.4033572299872699</v>
      </c>
      <c r="AV358">
        <f t="shared" si="30"/>
        <v>1882008375338.3945</v>
      </c>
      <c r="AW358">
        <f t="shared" si="31"/>
        <v>1038367960106.7249</v>
      </c>
      <c r="AX358">
        <f t="shared" si="32"/>
        <v>441548992381.8316</v>
      </c>
      <c r="AY358">
        <f t="shared" si="33"/>
        <v>402091422849.83813</v>
      </c>
      <c r="AZ358" cm="1">
        <f t="array" ref="AZ358">_xlfn.IFS(E358="H",AW358*AI358-AV358,E358="D",AX358*AJ358-AV358,E358="A",AY358*AK358-AV358)</f>
        <v>7821312055.8447266</v>
      </c>
      <c r="BA358">
        <f t="shared" si="34"/>
        <v>151232395840.72852</v>
      </c>
    </row>
    <row r="359" spans="1:53" x14ac:dyDescent="0.2">
      <c r="A359">
        <v>13</v>
      </c>
      <c r="B359" t="s">
        <v>198</v>
      </c>
      <c r="C359" s="1">
        <v>44522</v>
      </c>
      <c r="D359" t="s">
        <v>48</v>
      </c>
      <c r="E359" t="s">
        <v>49</v>
      </c>
      <c r="F359" t="s">
        <v>375</v>
      </c>
      <c r="G359" t="s">
        <v>314</v>
      </c>
      <c r="H359">
        <v>7034</v>
      </c>
      <c r="I359" t="s">
        <v>377</v>
      </c>
      <c r="J359" t="s">
        <v>399</v>
      </c>
      <c r="K359" t="s">
        <v>54</v>
      </c>
      <c r="L359">
        <v>2021</v>
      </c>
      <c r="M359">
        <v>1.75</v>
      </c>
      <c r="N359">
        <v>1.75</v>
      </c>
      <c r="O359">
        <v>0.5</v>
      </c>
      <c r="P359">
        <v>1</v>
      </c>
      <c r="Q359">
        <v>2.0499999999999998</v>
      </c>
      <c r="R359">
        <v>3.4</v>
      </c>
      <c r="S359">
        <v>3.7</v>
      </c>
      <c r="T359">
        <v>2.0499999999999998</v>
      </c>
      <c r="U359">
        <v>3.25</v>
      </c>
      <c r="V359">
        <v>3.8</v>
      </c>
      <c r="W359">
        <v>2.1</v>
      </c>
      <c r="X359">
        <v>3.3</v>
      </c>
      <c r="Y359">
        <v>3.7</v>
      </c>
      <c r="Z359">
        <v>2.11</v>
      </c>
      <c r="AA359">
        <v>3.45</v>
      </c>
      <c r="AB359">
        <v>3.88</v>
      </c>
      <c r="AC359">
        <v>2.0499999999999998</v>
      </c>
      <c r="AD359">
        <v>3.3</v>
      </c>
      <c r="AE359">
        <v>3.8</v>
      </c>
      <c r="AF359">
        <v>2.0499999999999998</v>
      </c>
      <c r="AG359">
        <v>3.13</v>
      </c>
      <c r="AH359">
        <v>4</v>
      </c>
      <c r="AI359">
        <v>2.2000000000000002</v>
      </c>
      <c r="AJ359">
        <v>3.52</v>
      </c>
      <c r="AK359">
        <v>4</v>
      </c>
      <c r="AL359">
        <v>2.09</v>
      </c>
      <c r="AM359">
        <v>3.32</v>
      </c>
      <c r="AN359">
        <v>3.74</v>
      </c>
      <c r="AO359">
        <v>1</v>
      </c>
      <c r="AP359">
        <v>0.45977011494252801</v>
      </c>
      <c r="AQ359">
        <v>0.28735632183908</v>
      </c>
      <c r="AR359">
        <v>0.25287356321839</v>
      </c>
      <c r="AS359">
        <v>1</v>
      </c>
      <c r="AT359">
        <v>1.14942528735633E-2</v>
      </c>
      <c r="AU359">
        <v>2.4148514828608301</v>
      </c>
      <c r="AV359">
        <f t="shared" si="30"/>
        <v>2033240771179.123</v>
      </c>
      <c r="AW359">
        <f t="shared" si="31"/>
        <v>934823343070.86121</v>
      </c>
      <c r="AX359">
        <f t="shared" si="32"/>
        <v>584264589419.28833</v>
      </c>
      <c r="AY359">
        <f t="shared" si="33"/>
        <v>514152838688.97357</v>
      </c>
      <c r="AZ359" cm="1">
        <f t="array" ref="AZ359">_xlfn.IFS(E359="H",AW359*AI359-AV359,E359="D",AX359*AJ359-AV359,E359="A",AY359*AK359-AV359)</f>
        <v>23370583576.771729</v>
      </c>
      <c r="BA359">
        <f t="shared" si="34"/>
        <v>174602979417.50024</v>
      </c>
    </row>
    <row r="360" spans="1:53" x14ac:dyDescent="0.2">
      <c r="A360">
        <v>13</v>
      </c>
      <c r="B360" t="s">
        <v>47</v>
      </c>
      <c r="C360" s="1">
        <v>44526</v>
      </c>
      <c r="D360" t="s">
        <v>199</v>
      </c>
      <c r="E360" t="s">
        <v>49</v>
      </c>
      <c r="F360" t="s">
        <v>364</v>
      </c>
      <c r="G360" t="s">
        <v>75</v>
      </c>
      <c r="H360">
        <v>25000</v>
      </c>
      <c r="I360" t="s">
        <v>370</v>
      </c>
      <c r="J360" t="s">
        <v>422</v>
      </c>
      <c r="K360" t="s">
        <v>54</v>
      </c>
      <c r="L360">
        <v>2021</v>
      </c>
      <c r="M360">
        <v>1</v>
      </c>
      <c r="N360">
        <v>1.25</v>
      </c>
      <c r="O360">
        <v>1.5</v>
      </c>
      <c r="P360">
        <v>1.25</v>
      </c>
      <c r="Q360">
        <v>2.9</v>
      </c>
      <c r="R360">
        <v>3.3</v>
      </c>
      <c r="S360">
        <v>2.4500000000000002</v>
      </c>
      <c r="T360">
        <v>2.87</v>
      </c>
      <c r="U360">
        <v>3.2</v>
      </c>
      <c r="V360">
        <v>2.5499999999999998</v>
      </c>
      <c r="W360">
        <v>2.95</v>
      </c>
      <c r="X360">
        <v>3.2</v>
      </c>
      <c r="Y360">
        <v>2.5</v>
      </c>
      <c r="Z360">
        <v>2.95</v>
      </c>
      <c r="AA360">
        <v>3.4</v>
      </c>
      <c r="AB360">
        <v>2.57</v>
      </c>
      <c r="AC360">
        <v>2.88</v>
      </c>
      <c r="AD360">
        <v>3.2</v>
      </c>
      <c r="AE360">
        <v>2.5</v>
      </c>
      <c r="AF360">
        <v>2.75</v>
      </c>
      <c r="AG360">
        <v>3.4</v>
      </c>
      <c r="AH360">
        <v>2.5499999999999998</v>
      </c>
      <c r="AI360">
        <v>3.05</v>
      </c>
      <c r="AJ360">
        <v>3.4</v>
      </c>
      <c r="AK360">
        <v>2.65</v>
      </c>
      <c r="AL360">
        <v>2.89</v>
      </c>
      <c r="AM360">
        <v>3.27</v>
      </c>
      <c r="AN360">
        <v>2.54</v>
      </c>
      <c r="AO360">
        <v>1</v>
      </c>
      <c r="AP360">
        <v>0.328083750568957</v>
      </c>
      <c r="AQ360">
        <v>0.29431042330450602</v>
      </c>
      <c r="AR360">
        <v>0.37760582612653598</v>
      </c>
      <c r="AS360">
        <v>0.999999999999999</v>
      </c>
      <c r="AT360" s="2">
        <v>6.5543923532085304E-4</v>
      </c>
      <c r="AU360">
        <v>2.4155069220961498</v>
      </c>
      <c r="AV360">
        <f t="shared" si="30"/>
        <v>2207843750596.623</v>
      </c>
      <c r="AW360">
        <f t="shared" si="31"/>
        <v>724357658365.97449</v>
      </c>
      <c r="AX360">
        <f t="shared" si="32"/>
        <v>649791428828.30066</v>
      </c>
      <c r="AY360">
        <f t="shared" si="33"/>
        <v>833694663402.3479</v>
      </c>
      <c r="AZ360" cm="1">
        <f t="array" ref="AZ360">_xlfn.IFS(E360="H",AW360*AI360-AV360,E360="D",AX360*AJ360-AV360,E360="A",AY360*AK360-AV360)</f>
        <v>1447107419.5991211</v>
      </c>
      <c r="BA360">
        <f t="shared" si="34"/>
        <v>176050086837.09937</v>
      </c>
    </row>
    <row r="361" spans="1:53" x14ac:dyDescent="0.2">
      <c r="A361">
        <v>15</v>
      </c>
      <c r="B361" t="s">
        <v>47</v>
      </c>
      <c r="C361" s="1">
        <v>44526</v>
      </c>
      <c r="D361" t="s">
        <v>68</v>
      </c>
      <c r="E361" t="s">
        <v>57</v>
      </c>
      <c r="F361" t="s">
        <v>311</v>
      </c>
      <c r="G361" t="s">
        <v>287</v>
      </c>
      <c r="H361">
        <v>32651</v>
      </c>
      <c r="I361" t="s">
        <v>397</v>
      </c>
      <c r="J361" t="s">
        <v>267</v>
      </c>
      <c r="K361" t="s">
        <v>54</v>
      </c>
      <c r="L361">
        <v>2021</v>
      </c>
      <c r="M361">
        <v>1.5</v>
      </c>
      <c r="N361">
        <v>1</v>
      </c>
      <c r="O361">
        <v>1</v>
      </c>
      <c r="P361">
        <v>1</v>
      </c>
      <c r="Q361">
        <v>1.36</v>
      </c>
      <c r="R361">
        <v>4.75</v>
      </c>
      <c r="S361">
        <v>9.5</v>
      </c>
      <c r="T361">
        <v>1.43</v>
      </c>
      <c r="U361">
        <v>4.33</v>
      </c>
      <c r="V361">
        <v>8</v>
      </c>
      <c r="W361">
        <v>1.4</v>
      </c>
      <c r="X361">
        <v>4.5</v>
      </c>
      <c r="Y361">
        <v>8.75</v>
      </c>
      <c r="Z361">
        <v>1.42</v>
      </c>
      <c r="AA361">
        <v>4.6900000000000004</v>
      </c>
      <c r="AB361">
        <v>9.41</v>
      </c>
      <c r="AC361">
        <v>1.38</v>
      </c>
      <c r="AD361">
        <v>4.4000000000000004</v>
      </c>
      <c r="AE361">
        <v>9</v>
      </c>
      <c r="AF361">
        <v>1.36</v>
      </c>
      <c r="AG361">
        <v>4.75</v>
      </c>
      <c r="AH361">
        <v>9.5</v>
      </c>
      <c r="AI361">
        <v>1.45</v>
      </c>
      <c r="AJ361">
        <v>4.9000000000000004</v>
      </c>
      <c r="AK361">
        <v>9.82</v>
      </c>
      <c r="AL361">
        <v>1.4</v>
      </c>
      <c r="AM361">
        <v>4.5999999999999996</v>
      </c>
      <c r="AN361">
        <v>8.89</v>
      </c>
      <c r="AO361">
        <v>1</v>
      </c>
      <c r="AP361">
        <v>0.69272407935273905</v>
      </c>
      <c r="AQ361">
        <v>0.20498977858397299</v>
      </c>
      <c r="AR361">
        <v>0.102286142063286</v>
      </c>
      <c r="AS361">
        <v>1</v>
      </c>
      <c r="AT361">
        <v>4.4499150614722904E-3</v>
      </c>
      <c r="AU361">
        <v>2.4199568371576201</v>
      </c>
      <c r="AV361">
        <f t="shared" si="30"/>
        <v>2383893837433.7227</v>
      </c>
      <c r="AW361">
        <f t="shared" si="31"/>
        <v>1651380663810.9451</v>
      </c>
      <c r="AX361">
        <f t="shared" si="32"/>
        <v>488673869903.23877</v>
      </c>
      <c r="AY361">
        <f t="shared" si="33"/>
        <v>243839303719.53873</v>
      </c>
      <c r="AZ361" cm="1">
        <f t="array" ref="AZ361">_xlfn.IFS(E361="H",AW361*AI361-AV361,E361="D",AX361*AJ361-AV361,E361="A",AY361*AK361-AV361)</f>
        <v>10608125092.147461</v>
      </c>
      <c r="BA361">
        <f t="shared" si="34"/>
        <v>186658211929.24683</v>
      </c>
    </row>
    <row r="362" spans="1:53" x14ac:dyDescent="0.2">
      <c r="A362">
        <v>14</v>
      </c>
      <c r="B362" t="s">
        <v>55</v>
      </c>
      <c r="C362" s="1">
        <v>44527</v>
      </c>
      <c r="D362" t="s">
        <v>48</v>
      </c>
      <c r="E362" t="s">
        <v>74</v>
      </c>
      <c r="F362" t="s">
        <v>440</v>
      </c>
      <c r="G362" t="s">
        <v>318</v>
      </c>
      <c r="H362">
        <v>8303</v>
      </c>
      <c r="I362" t="s">
        <v>441</v>
      </c>
      <c r="J362" t="s">
        <v>410</v>
      </c>
      <c r="K362" t="s">
        <v>54</v>
      </c>
      <c r="L362">
        <v>2021</v>
      </c>
      <c r="M362">
        <v>1.75</v>
      </c>
      <c r="N362">
        <v>1.5</v>
      </c>
      <c r="O362">
        <v>1.75</v>
      </c>
      <c r="P362">
        <v>1.5</v>
      </c>
      <c r="Q362">
        <v>8</v>
      </c>
      <c r="R362">
        <v>5</v>
      </c>
      <c r="S362">
        <v>1.36</v>
      </c>
      <c r="T362">
        <v>7.75</v>
      </c>
      <c r="U362">
        <v>4.75</v>
      </c>
      <c r="V362">
        <v>1.4</v>
      </c>
      <c r="W362">
        <v>8.25</v>
      </c>
      <c r="X362">
        <v>4.5999999999999996</v>
      </c>
      <c r="Y362">
        <v>1.4</v>
      </c>
      <c r="Z362">
        <v>9.0299999999999994</v>
      </c>
      <c r="AA362">
        <v>4.8899999999999997</v>
      </c>
      <c r="AB362">
        <v>1.41</v>
      </c>
      <c r="AC362">
        <v>8.5</v>
      </c>
      <c r="AD362">
        <v>4.75</v>
      </c>
      <c r="AE362">
        <v>1.38</v>
      </c>
      <c r="AF362">
        <v>8.5</v>
      </c>
      <c r="AG362">
        <v>4.75</v>
      </c>
      <c r="AH362">
        <v>1.36</v>
      </c>
      <c r="AI362">
        <v>9.0299999999999994</v>
      </c>
      <c r="AJ362">
        <v>5.2</v>
      </c>
      <c r="AK362">
        <v>1.44</v>
      </c>
      <c r="AL362">
        <v>8.18</v>
      </c>
      <c r="AM362">
        <v>4.84</v>
      </c>
      <c r="AN362">
        <v>1.39</v>
      </c>
      <c r="AO362">
        <v>1</v>
      </c>
      <c r="AP362">
        <v>0.11102017578194499</v>
      </c>
      <c r="AQ362">
        <v>0.19279080525210801</v>
      </c>
      <c r="AR362">
        <v>0.69618901896594598</v>
      </c>
      <c r="AS362">
        <v>1</v>
      </c>
      <c r="AT362">
        <v>2.5121873109632499E-3</v>
      </c>
      <c r="AU362">
        <v>2.4224690244685898</v>
      </c>
      <c r="AV362">
        <f t="shared" si="30"/>
        <v>2570552049362.9697</v>
      </c>
      <c r="AW362">
        <f t="shared" si="31"/>
        <v>285383140376.91583</v>
      </c>
      <c r="AX362">
        <f t="shared" si="32"/>
        <v>495578799539.14423</v>
      </c>
      <c r="AY362">
        <f t="shared" si="33"/>
        <v>1789590109446.9099</v>
      </c>
      <c r="AZ362" cm="1">
        <f t="array" ref="AZ362">_xlfn.IFS(E362="H",AW362*AI362-AV362,E362="D",AX362*AJ362-AV362,E362="A",AY362*AK362-AV362)</f>
        <v>6457708240.5805664</v>
      </c>
      <c r="BA362">
        <f t="shared" si="34"/>
        <v>193115920169.82739</v>
      </c>
    </row>
    <row r="363" spans="1:53" x14ac:dyDescent="0.2">
      <c r="A363">
        <v>13</v>
      </c>
      <c r="B363" t="s">
        <v>55</v>
      </c>
      <c r="C363" s="1">
        <v>44527</v>
      </c>
      <c r="D363" t="s">
        <v>90</v>
      </c>
      <c r="E363" t="s">
        <v>49</v>
      </c>
      <c r="F363" t="s">
        <v>210</v>
      </c>
      <c r="G363" t="s">
        <v>152</v>
      </c>
      <c r="H363">
        <v>53040</v>
      </c>
      <c r="I363" t="s">
        <v>400</v>
      </c>
      <c r="J363" t="s">
        <v>155</v>
      </c>
      <c r="K363" t="s">
        <v>54</v>
      </c>
      <c r="L363">
        <v>2021</v>
      </c>
      <c r="M363">
        <v>2</v>
      </c>
      <c r="N363">
        <v>2.75</v>
      </c>
      <c r="O363">
        <v>1</v>
      </c>
      <c r="P363">
        <v>0.75</v>
      </c>
      <c r="Q363">
        <v>1.28</v>
      </c>
      <c r="R363">
        <v>6</v>
      </c>
      <c r="S363">
        <v>9</v>
      </c>
      <c r="T363">
        <v>1.29</v>
      </c>
      <c r="U363">
        <v>6</v>
      </c>
      <c r="V363">
        <v>9.5</v>
      </c>
      <c r="W363">
        <v>1.3</v>
      </c>
      <c r="X363">
        <v>6</v>
      </c>
      <c r="Y363">
        <v>8.5</v>
      </c>
      <c r="Z363">
        <v>1.3</v>
      </c>
      <c r="AA363">
        <v>6.08</v>
      </c>
      <c r="AB363">
        <v>10.1</v>
      </c>
      <c r="AC363">
        <v>1.28</v>
      </c>
      <c r="AD363">
        <v>5.5</v>
      </c>
      <c r="AE363">
        <v>10</v>
      </c>
      <c r="AF363">
        <v>1.25</v>
      </c>
      <c r="AG363">
        <v>6</v>
      </c>
      <c r="AH363">
        <v>10</v>
      </c>
      <c r="AI363">
        <v>1.33</v>
      </c>
      <c r="AJ363">
        <v>6.37</v>
      </c>
      <c r="AK363">
        <v>11</v>
      </c>
      <c r="AL363">
        <v>1.29</v>
      </c>
      <c r="AM363">
        <v>5.99</v>
      </c>
      <c r="AN363">
        <v>9.7799999999999994</v>
      </c>
      <c r="AO363">
        <v>1</v>
      </c>
      <c r="AP363">
        <v>0.75204916493242002</v>
      </c>
      <c r="AQ363">
        <v>0.157021254216659</v>
      </c>
      <c r="AR363">
        <v>9.09295808509199E-2</v>
      </c>
      <c r="AS363">
        <v>1</v>
      </c>
      <c r="AT363" s="2">
        <v>2.2538936011962099E-4</v>
      </c>
      <c r="AU363">
        <v>2.4226944138287099</v>
      </c>
      <c r="AV363">
        <f t="shared" si="30"/>
        <v>2763667969532.7969</v>
      </c>
      <c r="AW363">
        <f t="shared" si="31"/>
        <v>2078414188637.6189</v>
      </c>
      <c r="AX363">
        <f t="shared" si="32"/>
        <v>433954610814.44788</v>
      </c>
      <c r="AY363">
        <f t="shared" si="33"/>
        <v>251299170080.73029</v>
      </c>
      <c r="AZ363" cm="1">
        <f t="array" ref="AZ363">_xlfn.IFS(E363="H",AW363*AI363-AV363,E363="D",AX363*AJ363-AV363,E363="A",AY363*AK363-AV363)</f>
        <v>622901355.23632812</v>
      </c>
      <c r="BA363">
        <f t="shared" si="34"/>
        <v>193738821525.06372</v>
      </c>
    </row>
    <row r="364" spans="1:53" x14ac:dyDescent="0.2">
      <c r="A364">
        <v>13</v>
      </c>
      <c r="B364" t="s">
        <v>55</v>
      </c>
      <c r="C364" s="1">
        <v>44527</v>
      </c>
      <c r="D364" t="s">
        <v>99</v>
      </c>
      <c r="E364" t="s">
        <v>57</v>
      </c>
      <c r="F364" t="s">
        <v>284</v>
      </c>
      <c r="G364" t="s">
        <v>346</v>
      </c>
      <c r="H364">
        <v>31166</v>
      </c>
      <c r="I364" t="s">
        <v>285</v>
      </c>
      <c r="J364" t="s">
        <v>297</v>
      </c>
      <c r="K364" t="s">
        <v>54</v>
      </c>
      <c r="L364">
        <v>2021</v>
      </c>
      <c r="M364">
        <v>1.25</v>
      </c>
      <c r="N364">
        <v>1</v>
      </c>
      <c r="O364">
        <v>1</v>
      </c>
      <c r="P364">
        <v>1</v>
      </c>
      <c r="Q364">
        <v>2.0499999999999998</v>
      </c>
      <c r="R364">
        <v>3.4</v>
      </c>
      <c r="S364">
        <v>3.75</v>
      </c>
      <c r="T364">
        <v>1.98</v>
      </c>
      <c r="U364">
        <v>3.5</v>
      </c>
      <c r="V364">
        <v>3.75</v>
      </c>
      <c r="W364">
        <v>2.1</v>
      </c>
      <c r="X364">
        <v>3.4</v>
      </c>
      <c r="Y364">
        <v>3.55</v>
      </c>
      <c r="Z364">
        <v>2.14</v>
      </c>
      <c r="AA364">
        <v>3.44</v>
      </c>
      <c r="AB364">
        <v>3.78</v>
      </c>
      <c r="AC364">
        <v>2.0499999999999998</v>
      </c>
      <c r="AD364">
        <v>3.25</v>
      </c>
      <c r="AE364">
        <v>3.75</v>
      </c>
      <c r="AF364">
        <v>2.0499999999999998</v>
      </c>
      <c r="AG364">
        <v>3.4</v>
      </c>
      <c r="AH364">
        <v>3.5</v>
      </c>
      <c r="AI364">
        <v>2.1800000000000002</v>
      </c>
      <c r="AJ364">
        <v>3.5</v>
      </c>
      <c r="AK364">
        <v>3.92</v>
      </c>
      <c r="AL364">
        <v>2.11</v>
      </c>
      <c r="AM364">
        <v>3.41</v>
      </c>
      <c r="AN364">
        <v>3.67</v>
      </c>
      <c r="AO364">
        <v>1</v>
      </c>
      <c r="AP364">
        <v>0.45893041116418398</v>
      </c>
      <c r="AQ364">
        <v>0.28584808466797701</v>
      </c>
      <c r="AR364">
        <v>0.25522150416783701</v>
      </c>
      <c r="AS364">
        <v>1</v>
      </c>
      <c r="AT364" s="2">
        <v>4.6829633792255798E-4</v>
      </c>
      <c r="AU364">
        <v>2.42316271016663</v>
      </c>
      <c r="AV364">
        <f t="shared" si="30"/>
        <v>2957406791057.8604</v>
      </c>
      <c r="AW364">
        <f t="shared" si="31"/>
        <v>1357243914599.9358</v>
      </c>
      <c r="AX364">
        <f t="shared" si="32"/>
        <v>845369066807.96008</v>
      </c>
      <c r="AY364">
        <f t="shared" si="33"/>
        <v>754793809649.96436</v>
      </c>
      <c r="AZ364" cm="1">
        <f t="array" ref="AZ364">_xlfn.IFS(E364="H",AW364*AI364-AV364,E364="D",AX364*AJ364-AV364,E364="A",AY364*AK364-AV364)</f>
        <v>1384942770</v>
      </c>
      <c r="BA364">
        <f t="shared" si="34"/>
        <v>195123764295.06372</v>
      </c>
    </row>
    <row r="365" spans="1:53" x14ac:dyDescent="0.2">
      <c r="A365">
        <v>15</v>
      </c>
      <c r="B365" t="s">
        <v>55</v>
      </c>
      <c r="C365" s="1">
        <v>44527</v>
      </c>
      <c r="D365" t="s">
        <v>396</v>
      </c>
      <c r="E365" t="s">
        <v>74</v>
      </c>
      <c r="F365" t="s">
        <v>286</v>
      </c>
      <c r="G365" t="s">
        <v>157</v>
      </c>
      <c r="H365">
        <v>10093</v>
      </c>
      <c r="I365" t="s">
        <v>288</v>
      </c>
      <c r="J365" t="s">
        <v>442</v>
      </c>
      <c r="K365" t="s">
        <v>54</v>
      </c>
      <c r="L365">
        <v>2021</v>
      </c>
      <c r="M365">
        <v>2.25</v>
      </c>
      <c r="N365">
        <v>1</v>
      </c>
      <c r="O365">
        <v>1.75</v>
      </c>
      <c r="P365">
        <v>1.25</v>
      </c>
      <c r="Q365">
        <v>2.9</v>
      </c>
      <c r="R365">
        <v>3.1</v>
      </c>
      <c r="S365">
        <v>2.5499999999999998</v>
      </c>
      <c r="T365">
        <v>2.8</v>
      </c>
      <c r="U365">
        <v>3.1</v>
      </c>
      <c r="V365">
        <v>2.6</v>
      </c>
      <c r="W365">
        <v>2.95</v>
      </c>
      <c r="X365">
        <v>3.1</v>
      </c>
      <c r="Y365">
        <v>2.5499999999999998</v>
      </c>
      <c r="Z365">
        <v>3.09</v>
      </c>
      <c r="AA365">
        <v>3.19</v>
      </c>
      <c r="AB365">
        <v>2.6</v>
      </c>
      <c r="AC365">
        <v>2.9</v>
      </c>
      <c r="AD365">
        <v>3.1</v>
      </c>
      <c r="AE365">
        <v>2.5499999999999998</v>
      </c>
      <c r="AF365">
        <v>3</v>
      </c>
      <c r="AG365">
        <v>3.13</v>
      </c>
      <c r="AH365">
        <v>2.5499999999999998</v>
      </c>
      <c r="AI365">
        <v>3.13</v>
      </c>
      <c r="AJ365">
        <v>3.32</v>
      </c>
      <c r="AK365">
        <v>2.67</v>
      </c>
      <c r="AL365">
        <v>2.97</v>
      </c>
      <c r="AM365">
        <v>3.15</v>
      </c>
      <c r="AN365">
        <v>2.56</v>
      </c>
      <c r="AO365">
        <v>1</v>
      </c>
      <c r="AP365">
        <v>0.32102154412217299</v>
      </c>
      <c r="AQ365">
        <v>0.302649829247712</v>
      </c>
      <c r="AR365">
        <v>0.37632862663011302</v>
      </c>
      <c r="AS365">
        <v>0.999999999999999</v>
      </c>
      <c r="AT365">
        <v>4.7974331024041002E-3</v>
      </c>
      <c r="AU365">
        <v>2.4279601432690301</v>
      </c>
      <c r="AV365">
        <f t="shared" si="30"/>
        <v>3152530555352.9238</v>
      </c>
      <c r="AW365">
        <f t="shared" si="31"/>
        <v>1012030226771.73</v>
      </c>
      <c r="AX365">
        <f t="shared" si="32"/>
        <v>954112834275.75757</v>
      </c>
      <c r="AY365">
        <f t="shared" si="33"/>
        <v>1186387494305.4363</v>
      </c>
      <c r="AZ365" cm="1">
        <f t="array" ref="AZ365">_xlfn.IFS(E365="H",AW365*AI365-AV365,E365="D",AX365*AJ365-AV365,E365="A",AY365*AK365-AV365)</f>
        <v>15124054442.59082</v>
      </c>
      <c r="BA365">
        <f t="shared" si="34"/>
        <v>210247818737.65454</v>
      </c>
    </row>
    <row r="366" spans="1:53" x14ac:dyDescent="0.2">
      <c r="A366">
        <v>14</v>
      </c>
      <c r="B366" t="s">
        <v>67</v>
      </c>
      <c r="C366" s="1">
        <v>44528</v>
      </c>
      <c r="D366" t="s">
        <v>107</v>
      </c>
      <c r="E366" t="s">
        <v>49</v>
      </c>
      <c r="F366" t="s">
        <v>108</v>
      </c>
      <c r="G366" t="s">
        <v>375</v>
      </c>
      <c r="H366">
        <v>46728</v>
      </c>
      <c r="I366" t="s">
        <v>110</v>
      </c>
      <c r="J366" t="s">
        <v>111</v>
      </c>
      <c r="K366" t="s">
        <v>54</v>
      </c>
      <c r="L366">
        <v>2021</v>
      </c>
      <c r="M366">
        <v>1.75</v>
      </c>
      <c r="N366">
        <v>1</v>
      </c>
      <c r="O366">
        <v>0.25</v>
      </c>
      <c r="P366">
        <v>0.25</v>
      </c>
      <c r="Q366">
        <v>1.72</v>
      </c>
      <c r="R366">
        <v>4</v>
      </c>
      <c r="S366">
        <v>4.5</v>
      </c>
      <c r="T366">
        <v>1.66</v>
      </c>
      <c r="U366">
        <v>4.0999999999999996</v>
      </c>
      <c r="V366">
        <v>4.5999999999999996</v>
      </c>
      <c r="W366">
        <v>1.67</v>
      </c>
      <c r="X366">
        <v>3.95</v>
      </c>
      <c r="Y366">
        <v>4.9000000000000004</v>
      </c>
      <c r="Z366">
        <v>1.74</v>
      </c>
      <c r="AA366">
        <v>4.12</v>
      </c>
      <c r="AB366">
        <v>4.8499999999999996</v>
      </c>
      <c r="AC366">
        <v>1.7</v>
      </c>
      <c r="AD366">
        <v>3.8</v>
      </c>
      <c r="AE366">
        <v>5</v>
      </c>
      <c r="AF366">
        <v>1.67</v>
      </c>
      <c r="AG366">
        <v>3.7</v>
      </c>
      <c r="AH366">
        <v>5.25</v>
      </c>
      <c r="AI366">
        <v>1.76</v>
      </c>
      <c r="AJ366">
        <v>4.2</v>
      </c>
      <c r="AK366">
        <v>5.25</v>
      </c>
      <c r="AL366">
        <v>1.71</v>
      </c>
      <c r="AM366">
        <v>3.98</v>
      </c>
      <c r="AN366">
        <v>4.6900000000000004</v>
      </c>
      <c r="AO366">
        <v>1</v>
      </c>
      <c r="AP366">
        <v>0.57003257328990198</v>
      </c>
      <c r="AQ366">
        <v>0.23887079261672001</v>
      </c>
      <c r="AR366">
        <v>0.19109663409337599</v>
      </c>
      <c r="AS366">
        <v>1</v>
      </c>
      <c r="AT366">
        <v>3.2573289902277898E-3</v>
      </c>
      <c r="AU366">
        <v>2.4312174722592599</v>
      </c>
      <c r="AV366">
        <f t="shared" si="30"/>
        <v>3362778374090.5781</v>
      </c>
      <c r="AW366">
        <f t="shared" si="31"/>
        <v>1916893209986.4858</v>
      </c>
      <c r="AX366">
        <f t="shared" si="32"/>
        <v>803269535613.38452</v>
      </c>
      <c r="AY366">
        <f t="shared" si="33"/>
        <v>642615628490.70776</v>
      </c>
      <c r="AZ366" cm="1">
        <f t="array" ref="AZ366">_xlfn.IFS(E366="H",AW366*AI366-AV366,E366="D",AX366*AJ366-AV366,E366="A",AY366*AK366-AV366)</f>
        <v>10953675485.637207</v>
      </c>
      <c r="BA366">
        <f t="shared" si="34"/>
        <v>221201494223.29175</v>
      </c>
    </row>
    <row r="367" spans="1:53" x14ac:dyDescent="0.2">
      <c r="A367">
        <v>15</v>
      </c>
      <c r="B367" t="s">
        <v>67</v>
      </c>
      <c r="C367" s="1">
        <v>44528</v>
      </c>
      <c r="D367" t="s">
        <v>190</v>
      </c>
      <c r="E367" t="s">
        <v>74</v>
      </c>
      <c r="F367" t="s">
        <v>382</v>
      </c>
      <c r="G367" t="s">
        <v>291</v>
      </c>
      <c r="H367">
        <v>16861</v>
      </c>
      <c r="I367" t="s">
        <v>383</v>
      </c>
      <c r="J367" t="s">
        <v>302</v>
      </c>
      <c r="K367" t="s">
        <v>54</v>
      </c>
      <c r="L367">
        <v>2021</v>
      </c>
      <c r="M367">
        <v>0.75</v>
      </c>
      <c r="N367">
        <v>0.25</v>
      </c>
      <c r="O367">
        <v>1.25</v>
      </c>
      <c r="P367">
        <v>1.75</v>
      </c>
      <c r="Q367">
        <v>8</v>
      </c>
      <c r="R367">
        <v>3.8</v>
      </c>
      <c r="S367">
        <v>1.5</v>
      </c>
      <c r="T367">
        <v>7.5</v>
      </c>
      <c r="U367">
        <v>4.0999999999999996</v>
      </c>
      <c r="V367">
        <v>1.47</v>
      </c>
      <c r="W367">
        <v>8.25</v>
      </c>
      <c r="X367">
        <v>4.0999999999999996</v>
      </c>
      <c r="Y367">
        <v>1.47</v>
      </c>
      <c r="Z367">
        <v>8.1300000000000008</v>
      </c>
      <c r="AA367">
        <v>4.0999999999999996</v>
      </c>
      <c r="AB367">
        <v>1.52</v>
      </c>
      <c r="AC367">
        <v>7.5</v>
      </c>
      <c r="AD367">
        <v>3.9</v>
      </c>
      <c r="AE367">
        <v>1.5</v>
      </c>
      <c r="AF367">
        <v>7</v>
      </c>
      <c r="AG367">
        <v>3.9</v>
      </c>
      <c r="AH367">
        <v>1.45</v>
      </c>
      <c r="AI367">
        <v>8.5</v>
      </c>
      <c r="AJ367">
        <v>4.49</v>
      </c>
      <c r="AK367">
        <v>1.54</v>
      </c>
      <c r="AL367">
        <v>7.58</v>
      </c>
      <c r="AM367">
        <v>3.98</v>
      </c>
      <c r="AN367">
        <v>1.5</v>
      </c>
      <c r="AO367">
        <v>1</v>
      </c>
      <c r="AP367">
        <v>0.11886965012652601</v>
      </c>
      <c r="AQ367">
        <v>0.225031631642644</v>
      </c>
      <c r="AR367">
        <v>0.65609871823082799</v>
      </c>
      <c r="AS367">
        <v>1</v>
      </c>
      <c r="AT367">
        <v>1.0392026075475701E-2</v>
      </c>
      <c r="AU367">
        <v>2.4416094983347398</v>
      </c>
      <c r="AV367">
        <f t="shared" si="30"/>
        <v>3583979868313.8701</v>
      </c>
      <c r="AW367">
        <f t="shared" si="31"/>
        <v>426026433006.98456</v>
      </c>
      <c r="AX367">
        <f t="shared" si="32"/>
        <v>806508837541.06201</v>
      </c>
      <c r="AY367">
        <f t="shared" si="33"/>
        <v>2351444597765.8232</v>
      </c>
      <c r="AZ367" cm="1">
        <f t="array" ref="AZ367">_xlfn.IFS(E367="H",AW367*AI367-AV367,E367="D",AX367*AJ367-AV367,E367="A",AY367*AK367-AV367)</f>
        <v>37244812245.497559</v>
      </c>
      <c r="BA367">
        <f t="shared" si="34"/>
        <v>258446306468.78931</v>
      </c>
    </row>
    <row r="368" spans="1:53" x14ac:dyDescent="0.2">
      <c r="A368">
        <v>15</v>
      </c>
      <c r="B368" t="s">
        <v>67</v>
      </c>
      <c r="C368" s="1">
        <v>44528</v>
      </c>
      <c r="D368" t="s">
        <v>183</v>
      </c>
      <c r="E368" t="s">
        <v>57</v>
      </c>
      <c r="F368" t="s">
        <v>135</v>
      </c>
      <c r="G368" t="s">
        <v>83</v>
      </c>
      <c r="H368">
        <v>3478</v>
      </c>
      <c r="I368" t="s">
        <v>136</v>
      </c>
      <c r="J368" t="s">
        <v>72</v>
      </c>
      <c r="K368" t="s">
        <v>54</v>
      </c>
      <c r="L368">
        <v>2021</v>
      </c>
      <c r="M368">
        <v>2.5</v>
      </c>
      <c r="N368">
        <v>2.75</v>
      </c>
      <c r="O368">
        <v>1.25</v>
      </c>
      <c r="P368">
        <v>1</v>
      </c>
      <c r="Q368">
        <v>1.65</v>
      </c>
      <c r="R368">
        <v>4.2</v>
      </c>
      <c r="S368">
        <v>4.75</v>
      </c>
      <c r="T368">
        <v>1.68</v>
      </c>
      <c r="U368">
        <v>4</v>
      </c>
      <c r="V368">
        <v>4.5999999999999996</v>
      </c>
      <c r="W368">
        <v>1.65</v>
      </c>
      <c r="X368">
        <v>3.9</v>
      </c>
      <c r="Y368">
        <v>5.5</v>
      </c>
      <c r="Z368">
        <v>1.68</v>
      </c>
      <c r="AA368">
        <v>4.29</v>
      </c>
      <c r="AB368">
        <v>5.0599999999999996</v>
      </c>
      <c r="AC368">
        <v>1.62</v>
      </c>
      <c r="AD368">
        <v>4</v>
      </c>
      <c r="AE368">
        <v>5</v>
      </c>
      <c r="AF368">
        <v>1.65</v>
      </c>
      <c r="AG368">
        <v>3.8</v>
      </c>
      <c r="AH368">
        <v>5.25</v>
      </c>
      <c r="AI368">
        <v>1.72</v>
      </c>
      <c r="AJ368">
        <v>4.4000000000000004</v>
      </c>
      <c r="AK368">
        <v>5.5</v>
      </c>
      <c r="AL368">
        <v>1.67</v>
      </c>
      <c r="AM368">
        <v>4.07</v>
      </c>
      <c r="AN368">
        <v>4.91</v>
      </c>
      <c r="AO368">
        <v>1</v>
      </c>
      <c r="AP368">
        <v>0.58697972251867603</v>
      </c>
      <c r="AQ368">
        <v>0.22945570971184601</v>
      </c>
      <c r="AR368">
        <v>0.18356456776947699</v>
      </c>
      <c r="AS368">
        <v>1</v>
      </c>
      <c r="AT368">
        <v>9.6051227321238795E-3</v>
      </c>
      <c r="AU368">
        <v>2.4512146210668599</v>
      </c>
      <c r="AV368">
        <f t="shared" si="30"/>
        <v>3842426174782.6592</v>
      </c>
      <c r="AW368">
        <f t="shared" si="31"/>
        <v>2255426249872.4253</v>
      </c>
      <c r="AX368">
        <f t="shared" si="32"/>
        <v>881666624950.12988</v>
      </c>
      <c r="AY368">
        <f t="shared" si="33"/>
        <v>705333299960.104</v>
      </c>
      <c r="AZ368" cm="1">
        <f t="array" ref="AZ368">_xlfn.IFS(E368="H",AW368*AI368-AV368,E368="D",AX368*AJ368-AV368,E368="A",AY368*AK368-AV368)</f>
        <v>36906974997.912598</v>
      </c>
      <c r="BA368">
        <f t="shared" si="34"/>
        <v>295353281466.7019</v>
      </c>
    </row>
    <row r="369" spans="1:53" x14ac:dyDescent="0.2">
      <c r="A369">
        <v>15</v>
      </c>
      <c r="B369" t="s">
        <v>130</v>
      </c>
      <c r="C369" s="1">
        <v>44530</v>
      </c>
      <c r="D369" t="s">
        <v>190</v>
      </c>
      <c r="E369" t="s">
        <v>49</v>
      </c>
      <c r="F369" t="s">
        <v>181</v>
      </c>
      <c r="G369" t="s">
        <v>278</v>
      </c>
      <c r="H369">
        <v>17913</v>
      </c>
      <c r="I369" t="s">
        <v>344</v>
      </c>
      <c r="J369" t="s">
        <v>423</v>
      </c>
      <c r="K369" t="s">
        <v>54</v>
      </c>
      <c r="L369">
        <v>2021</v>
      </c>
      <c r="M369">
        <v>2.25</v>
      </c>
      <c r="N369">
        <v>2.75</v>
      </c>
      <c r="O369">
        <v>0.75</v>
      </c>
      <c r="P369">
        <v>1.25</v>
      </c>
      <c r="Q369">
        <v>1.7</v>
      </c>
      <c r="R369">
        <v>3.8</v>
      </c>
      <c r="S369">
        <v>5</v>
      </c>
      <c r="T369">
        <v>1.68</v>
      </c>
      <c r="U369">
        <v>3.9</v>
      </c>
      <c r="V369">
        <v>4.8</v>
      </c>
      <c r="W369">
        <v>1.73</v>
      </c>
      <c r="X369">
        <v>3.75</v>
      </c>
      <c r="Y369">
        <v>5</v>
      </c>
      <c r="Z369">
        <v>1.74</v>
      </c>
      <c r="AA369">
        <v>3.83</v>
      </c>
      <c r="AB369">
        <v>5.31</v>
      </c>
      <c r="AC369">
        <v>1.65</v>
      </c>
      <c r="AD369">
        <v>3.9</v>
      </c>
      <c r="AE369">
        <v>5.25</v>
      </c>
      <c r="AF369">
        <v>1.67</v>
      </c>
      <c r="AG369">
        <v>3.8</v>
      </c>
      <c r="AH369">
        <v>5.25</v>
      </c>
      <c r="AI369">
        <v>1.77</v>
      </c>
      <c r="AJ369">
        <v>4</v>
      </c>
      <c r="AK369">
        <v>5.41</v>
      </c>
      <c r="AL369">
        <v>1.72</v>
      </c>
      <c r="AM369">
        <v>3.81</v>
      </c>
      <c r="AN369">
        <v>5.03</v>
      </c>
      <c r="AO369">
        <v>1</v>
      </c>
      <c r="AP369">
        <v>0.56507649683907002</v>
      </c>
      <c r="AQ369">
        <v>0.25004634985128799</v>
      </c>
      <c r="AR369">
        <v>0.18487715330964</v>
      </c>
      <c r="AS369">
        <v>1</v>
      </c>
      <c r="AT369" s="2">
        <v>1.8539940515527301E-4</v>
      </c>
      <c r="AU369">
        <v>2.4514000204720201</v>
      </c>
      <c r="AV369">
        <f t="shared" si="30"/>
        <v>4137779456249.3613</v>
      </c>
      <c r="AW369">
        <f t="shared" si="31"/>
        <v>2338161919830.064</v>
      </c>
      <c r="AX369">
        <f t="shared" si="32"/>
        <v>1034636649524.8032</v>
      </c>
      <c r="AY369">
        <f t="shared" si="33"/>
        <v>764980886894.49414</v>
      </c>
      <c r="AZ369" cm="1">
        <f t="array" ref="AZ369">_xlfn.IFS(E369="H",AW369*AI369-AV369,E369="D",AX369*AJ369-AV369,E369="A",AY369*AK369-AV369)</f>
        <v>767141849.85205078</v>
      </c>
      <c r="BA369">
        <f t="shared" si="34"/>
        <v>296120423316.55396</v>
      </c>
    </row>
    <row r="370" spans="1:53" x14ac:dyDescent="0.2">
      <c r="A370">
        <v>15</v>
      </c>
      <c r="B370" t="s">
        <v>202</v>
      </c>
      <c r="C370" s="1">
        <v>44531</v>
      </c>
      <c r="D370" t="s">
        <v>48</v>
      </c>
      <c r="E370" t="s">
        <v>74</v>
      </c>
      <c r="F370" t="s">
        <v>274</v>
      </c>
      <c r="G370" t="s">
        <v>243</v>
      </c>
      <c r="H370">
        <v>14000</v>
      </c>
      <c r="I370" t="s">
        <v>275</v>
      </c>
      <c r="J370" t="s">
        <v>402</v>
      </c>
      <c r="K370" t="s">
        <v>54</v>
      </c>
      <c r="L370">
        <v>2021</v>
      </c>
      <c r="M370">
        <v>0.75</v>
      </c>
      <c r="N370">
        <v>1.25</v>
      </c>
      <c r="O370">
        <v>2.25</v>
      </c>
      <c r="P370">
        <v>3</v>
      </c>
      <c r="Q370">
        <v>5</v>
      </c>
      <c r="R370">
        <v>4</v>
      </c>
      <c r="S370">
        <v>1.66</v>
      </c>
      <c r="T370">
        <v>4.8</v>
      </c>
      <c r="U370">
        <v>4</v>
      </c>
      <c r="V370">
        <v>1.66</v>
      </c>
      <c r="W370">
        <v>5.25</v>
      </c>
      <c r="X370">
        <v>4.2</v>
      </c>
      <c r="Y370">
        <v>1.63</v>
      </c>
      <c r="Z370">
        <v>5.47</v>
      </c>
      <c r="AA370">
        <v>4.24</v>
      </c>
      <c r="AB370">
        <v>1.65</v>
      </c>
      <c r="AC370">
        <v>5.25</v>
      </c>
      <c r="AD370">
        <v>3.9</v>
      </c>
      <c r="AE370">
        <v>1.65</v>
      </c>
      <c r="AF370">
        <v>5.75</v>
      </c>
      <c r="AG370">
        <v>3.8</v>
      </c>
      <c r="AH370">
        <v>1.6</v>
      </c>
      <c r="AI370">
        <v>5.75</v>
      </c>
      <c r="AJ370">
        <v>4.4000000000000004</v>
      </c>
      <c r="AK370">
        <v>1.7</v>
      </c>
      <c r="AL370">
        <v>5.16</v>
      </c>
      <c r="AM370">
        <v>4.13</v>
      </c>
      <c r="AN370">
        <v>1.63</v>
      </c>
      <c r="AO370">
        <v>1</v>
      </c>
      <c r="AP370">
        <v>0.17577252966748899</v>
      </c>
      <c r="AQ370">
        <v>0.22970273763365001</v>
      </c>
      <c r="AR370">
        <v>0.59452473269885997</v>
      </c>
      <c r="AS370">
        <v>1</v>
      </c>
      <c r="AT370">
        <v>1.06920455880625E-2</v>
      </c>
      <c r="AU370">
        <v>2.4620920660600798</v>
      </c>
      <c r="AV370">
        <f t="shared" si="30"/>
        <v>4433899879565.915</v>
      </c>
      <c r="AW370">
        <f t="shared" si="31"/>
        <v>779357798123.67627</v>
      </c>
      <c r="AX370">
        <f t="shared" si="32"/>
        <v>1018478940729.8041</v>
      </c>
      <c r="AY370">
        <f t="shared" si="33"/>
        <v>2636063140712.4346</v>
      </c>
      <c r="AZ370" cm="1">
        <f t="array" ref="AZ370">_xlfn.IFS(E370="H",AW370*AI370-AV370,E370="D",AX370*AJ370-AV370,E370="A",AY370*AK370-AV370)</f>
        <v>47407459645.223633</v>
      </c>
      <c r="BA370">
        <f t="shared" si="34"/>
        <v>343527882961.77759</v>
      </c>
    </row>
    <row r="371" spans="1:53" x14ac:dyDescent="0.2">
      <c r="A371">
        <v>15</v>
      </c>
      <c r="B371" t="s">
        <v>229</v>
      </c>
      <c r="C371" s="1">
        <v>44532</v>
      </c>
      <c r="D371" t="s">
        <v>48</v>
      </c>
      <c r="E371" t="s">
        <v>57</v>
      </c>
      <c r="F371" t="s">
        <v>184</v>
      </c>
      <c r="G371" t="s">
        <v>314</v>
      </c>
      <c r="H371">
        <v>7000</v>
      </c>
      <c r="I371" t="s">
        <v>110</v>
      </c>
      <c r="J371" t="s">
        <v>317</v>
      </c>
      <c r="K371" t="s">
        <v>54</v>
      </c>
      <c r="L371">
        <v>2021</v>
      </c>
      <c r="M371">
        <v>2.25</v>
      </c>
      <c r="N371">
        <v>1.75</v>
      </c>
      <c r="O371">
        <v>0.5</v>
      </c>
      <c r="P371">
        <v>1.25</v>
      </c>
      <c r="Q371">
        <v>1.66</v>
      </c>
      <c r="R371">
        <v>3.8</v>
      </c>
      <c r="S371">
        <v>5.25</v>
      </c>
      <c r="T371">
        <v>1.65</v>
      </c>
      <c r="U371">
        <v>3.9</v>
      </c>
      <c r="V371">
        <v>5.25</v>
      </c>
      <c r="W371">
        <v>1.65</v>
      </c>
      <c r="X371">
        <v>4.0999999999999996</v>
      </c>
      <c r="Y371">
        <v>4.9000000000000004</v>
      </c>
      <c r="Z371">
        <v>1.7</v>
      </c>
      <c r="AA371">
        <v>4.0599999999999996</v>
      </c>
      <c r="AB371">
        <v>5.28</v>
      </c>
      <c r="AC371">
        <v>1.65</v>
      </c>
      <c r="AD371">
        <v>4</v>
      </c>
      <c r="AE371">
        <v>5.25</v>
      </c>
      <c r="AF371">
        <v>1.65</v>
      </c>
      <c r="AG371">
        <v>3.75</v>
      </c>
      <c r="AH371">
        <v>5.5</v>
      </c>
      <c r="AI371">
        <v>1.74</v>
      </c>
      <c r="AJ371">
        <v>4.2</v>
      </c>
      <c r="AK371">
        <v>5.5</v>
      </c>
      <c r="AL371">
        <v>1.67</v>
      </c>
      <c r="AM371">
        <v>3.96</v>
      </c>
      <c r="AN371">
        <v>5.05</v>
      </c>
      <c r="AO371">
        <v>1</v>
      </c>
      <c r="AP371">
        <v>0.57781779978988401</v>
      </c>
      <c r="AQ371">
        <v>0.23938165991295199</v>
      </c>
      <c r="AR371">
        <v>0.182800540297163</v>
      </c>
      <c r="AS371">
        <v>1</v>
      </c>
      <c r="AT371">
        <v>5.4029716343990597E-3</v>
      </c>
      <c r="AU371">
        <v>2.46749503769448</v>
      </c>
      <c r="AV371">
        <f t="shared" si="30"/>
        <v>4777427762527.6924</v>
      </c>
      <c r="AW371">
        <f t="shared" si="31"/>
        <v>2760482798398.8618</v>
      </c>
      <c r="AX371">
        <f t="shared" si="32"/>
        <v>1143628587908.0999</v>
      </c>
      <c r="AY371">
        <f t="shared" si="33"/>
        <v>873316376220.73071</v>
      </c>
      <c r="AZ371" cm="1">
        <f t="array" ref="AZ371">_xlfn.IFS(E371="H",AW371*AI371-AV371,E371="D",AX371*AJ371-AV371,E371="A",AY371*AK371-AV371)</f>
        <v>25812306686.327148</v>
      </c>
      <c r="BA371">
        <f t="shared" si="34"/>
        <v>369340189648.10474</v>
      </c>
    </row>
    <row r="372" spans="1:53" x14ac:dyDescent="0.2">
      <c r="A372">
        <v>14</v>
      </c>
      <c r="B372" t="s">
        <v>47</v>
      </c>
      <c r="C372" s="1">
        <v>44533</v>
      </c>
      <c r="D372" t="s">
        <v>199</v>
      </c>
      <c r="E372" t="s">
        <v>49</v>
      </c>
      <c r="F372" t="s">
        <v>255</v>
      </c>
      <c r="G372" t="s">
        <v>204</v>
      </c>
      <c r="H372">
        <v>13506</v>
      </c>
      <c r="I372" t="s">
        <v>343</v>
      </c>
      <c r="J372" t="s">
        <v>140</v>
      </c>
      <c r="K372" t="s">
        <v>54</v>
      </c>
      <c r="L372">
        <v>2021</v>
      </c>
      <c r="M372">
        <v>2.25</v>
      </c>
      <c r="N372">
        <v>1.75</v>
      </c>
      <c r="O372">
        <v>0.75</v>
      </c>
      <c r="P372">
        <v>0.75</v>
      </c>
      <c r="Q372">
        <v>3.5</v>
      </c>
      <c r="R372">
        <v>3.7</v>
      </c>
      <c r="S372">
        <v>2</v>
      </c>
      <c r="T372">
        <v>3.6</v>
      </c>
      <c r="U372">
        <v>3.5</v>
      </c>
      <c r="V372">
        <v>1.98</v>
      </c>
      <c r="W372">
        <v>3.3</v>
      </c>
      <c r="X372">
        <v>3.4</v>
      </c>
      <c r="Y372">
        <v>2.2000000000000002</v>
      </c>
      <c r="Z372">
        <v>3.6</v>
      </c>
      <c r="AA372">
        <v>3.53</v>
      </c>
      <c r="AB372">
        <v>2.17</v>
      </c>
      <c r="AC372">
        <v>3.6</v>
      </c>
      <c r="AD372">
        <v>3.5</v>
      </c>
      <c r="AE372">
        <v>2</v>
      </c>
      <c r="AF372">
        <v>3.3</v>
      </c>
      <c r="AG372">
        <v>3.7</v>
      </c>
      <c r="AH372">
        <v>2.1</v>
      </c>
      <c r="AI372">
        <v>3.75</v>
      </c>
      <c r="AJ372">
        <v>3.7</v>
      </c>
      <c r="AK372">
        <v>2.2000000000000002</v>
      </c>
      <c r="AL372">
        <v>3.52</v>
      </c>
      <c r="AM372">
        <v>3.53</v>
      </c>
      <c r="AN372">
        <v>2.11</v>
      </c>
      <c r="AO372">
        <v>1</v>
      </c>
      <c r="AP372">
        <v>0.26895754171485198</v>
      </c>
      <c r="AQ372">
        <v>0.27259210308937698</v>
      </c>
      <c r="AR372">
        <v>0.45845035519576999</v>
      </c>
      <c r="AS372">
        <v>1</v>
      </c>
      <c r="AT372">
        <v>8.5907814306958007E-3</v>
      </c>
      <c r="AU372">
        <v>2.4760858191251698</v>
      </c>
      <c r="AV372">
        <f t="shared" si="30"/>
        <v>5146767952175.7969</v>
      </c>
      <c r="AW372">
        <f t="shared" si="31"/>
        <v>1384262056193.9863</v>
      </c>
      <c r="AX372">
        <f t="shared" si="32"/>
        <v>1402968300196.6074</v>
      </c>
      <c r="AY372">
        <f t="shared" si="33"/>
        <v>2359537595785.2036</v>
      </c>
      <c r="AZ372" cm="1">
        <f t="array" ref="AZ372">_xlfn.IFS(E372="H",AW372*AI372-AV372,E372="D",AX372*AJ372-AV372,E372="A",AY372*AK372-AV372)</f>
        <v>44214758551.652344</v>
      </c>
      <c r="BA372">
        <f t="shared" si="34"/>
        <v>413554948199.75708</v>
      </c>
    </row>
    <row r="373" spans="1:53" x14ac:dyDescent="0.2">
      <c r="A373">
        <v>16</v>
      </c>
      <c r="B373" t="s">
        <v>55</v>
      </c>
      <c r="C373" s="1">
        <v>44534</v>
      </c>
      <c r="D373" t="s">
        <v>107</v>
      </c>
      <c r="E373" t="s">
        <v>74</v>
      </c>
      <c r="F373" t="s">
        <v>108</v>
      </c>
      <c r="G373" t="s">
        <v>318</v>
      </c>
      <c r="H373">
        <v>51185</v>
      </c>
      <c r="I373" t="s">
        <v>110</v>
      </c>
      <c r="J373" t="s">
        <v>398</v>
      </c>
      <c r="K373" t="s">
        <v>54</v>
      </c>
      <c r="L373">
        <v>2021</v>
      </c>
      <c r="M373">
        <v>1.75</v>
      </c>
      <c r="N373">
        <v>1</v>
      </c>
      <c r="O373">
        <v>1.75</v>
      </c>
      <c r="P373">
        <v>1.5</v>
      </c>
      <c r="Q373">
        <v>3.8</v>
      </c>
      <c r="R373">
        <v>3.8</v>
      </c>
      <c r="S373">
        <v>1.9</v>
      </c>
      <c r="T373">
        <v>3.9</v>
      </c>
      <c r="U373">
        <v>3.5</v>
      </c>
      <c r="V373">
        <v>1.93</v>
      </c>
      <c r="W373">
        <v>3.6</v>
      </c>
      <c r="X373">
        <v>3.75</v>
      </c>
      <c r="Y373">
        <v>1.97</v>
      </c>
      <c r="Z373">
        <v>3.93</v>
      </c>
      <c r="AA373">
        <v>3.75</v>
      </c>
      <c r="AB373">
        <v>1.99</v>
      </c>
      <c r="AC373">
        <v>3.7</v>
      </c>
      <c r="AD373">
        <v>3.7</v>
      </c>
      <c r="AE373">
        <v>1.95</v>
      </c>
      <c r="AF373">
        <v>3.8</v>
      </c>
      <c r="AG373">
        <v>3.5</v>
      </c>
      <c r="AH373">
        <v>1.95</v>
      </c>
      <c r="AI373">
        <v>3.95</v>
      </c>
      <c r="AJ373">
        <v>3.88</v>
      </c>
      <c r="AK373">
        <v>2.06</v>
      </c>
      <c r="AL373">
        <v>3.77</v>
      </c>
      <c r="AM373">
        <v>3.67</v>
      </c>
      <c r="AN373">
        <v>1.98</v>
      </c>
      <c r="AO373">
        <v>1</v>
      </c>
      <c r="AP373">
        <v>0.25409622390783199</v>
      </c>
      <c r="AQ373">
        <v>0.25868043413297298</v>
      </c>
      <c r="AR373">
        <v>0.48722334195919298</v>
      </c>
      <c r="AS373">
        <v>1</v>
      </c>
      <c r="AT373">
        <v>3.6800844359388099E-3</v>
      </c>
      <c r="AU373">
        <v>2.4797659035611099</v>
      </c>
      <c r="AV373">
        <f t="shared" si="30"/>
        <v>5560322900375.5537</v>
      </c>
      <c r="AW373">
        <f t="shared" si="31"/>
        <v>1412857052693.6758</v>
      </c>
      <c r="AX373">
        <f t="shared" si="32"/>
        <v>1438346741788.6648</v>
      </c>
      <c r="AY373">
        <f t="shared" si="33"/>
        <v>2709119105893.2134</v>
      </c>
      <c r="AZ373" cm="1">
        <f t="array" ref="AZ373">_xlfn.IFS(E373="H",AW373*AI373-AV373,E373="D",AX373*AJ373-AV373,E373="A",AY373*AK373-AV373)</f>
        <v>20462457764.46582</v>
      </c>
      <c r="BA373">
        <f t="shared" si="34"/>
        <v>434017405964.2229</v>
      </c>
    </row>
    <row r="374" spans="1:53" x14ac:dyDescent="0.2">
      <c r="A374">
        <v>15</v>
      </c>
      <c r="B374" t="s">
        <v>55</v>
      </c>
      <c r="C374" s="1">
        <v>44534</v>
      </c>
      <c r="D374" t="s">
        <v>90</v>
      </c>
      <c r="E374" t="s">
        <v>49</v>
      </c>
      <c r="F374" t="s">
        <v>248</v>
      </c>
      <c r="G374" t="s">
        <v>249</v>
      </c>
      <c r="H374">
        <v>51948</v>
      </c>
      <c r="I374" t="s">
        <v>250</v>
      </c>
      <c r="J374" t="s">
        <v>407</v>
      </c>
      <c r="K374" t="s">
        <v>54</v>
      </c>
      <c r="L374">
        <v>2021</v>
      </c>
      <c r="M374">
        <v>0.5</v>
      </c>
      <c r="N374">
        <v>1.5</v>
      </c>
      <c r="O374">
        <v>0.75</v>
      </c>
      <c r="P374">
        <v>0.75</v>
      </c>
      <c r="Q374">
        <v>2.2999999999999998</v>
      </c>
      <c r="R374">
        <v>3.3</v>
      </c>
      <c r="S374">
        <v>3.2</v>
      </c>
      <c r="T374">
        <v>2.25</v>
      </c>
      <c r="U374">
        <v>3.4</v>
      </c>
      <c r="V374">
        <v>3.1</v>
      </c>
      <c r="W374">
        <v>2.2999999999999998</v>
      </c>
      <c r="X374">
        <v>3.35</v>
      </c>
      <c r="Y374">
        <v>3.15</v>
      </c>
      <c r="Z374">
        <v>2.4</v>
      </c>
      <c r="AA374">
        <v>3.38</v>
      </c>
      <c r="AB374">
        <v>3.22</v>
      </c>
      <c r="AC374">
        <v>2.25</v>
      </c>
      <c r="AD374">
        <v>3.25</v>
      </c>
      <c r="AE374">
        <v>3.2</v>
      </c>
      <c r="AF374">
        <v>2.25</v>
      </c>
      <c r="AG374">
        <v>3.3</v>
      </c>
      <c r="AH374">
        <v>3.1</v>
      </c>
      <c r="AI374">
        <v>2.44</v>
      </c>
      <c r="AJ374">
        <v>3.59</v>
      </c>
      <c r="AK374">
        <v>3.26</v>
      </c>
      <c r="AL374">
        <v>2.33</v>
      </c>
      <c r="AM374">
        <v>3.35</v>
      </c>
      <c r="AN374">
        <v>3.19</v>
      </c>
      <c r="AO374">
        <v>1</v>
      </c>
      <c r="AP374">
        <v>0.411839225263394</v>
      </c>
      <c r="AQ374">
        <v>0.27991301104253002</v>
      </c>
      <c r="AR374">
        <v>0.30824776369407397</v>
      </c>
      <c r="AS374">
        <v>1</v>
      </c>
      <c r="AT374">
        <v>4.88770964268359E-3</v>
      </c>
      <c r="AU374">
        <v>2.4846536132038</v>
      </c>
      <c r="AV374">
        <f t="shared" si="30"/>
        <v>5994340306339.7764</v>
      </c>
      <c r="AW374">
        <f t="shared" si="31"/>
        <v>2468704467728.1152</v>
      </c>
      <c r="AX374">
        <f t="shared" si="32"/>
        <v>1677893844361.1702</v>
      </c>
      <c r="AY374">
        <f t="shared" si="33"/>
        <v>1847741994250.491</v>
      </c>
      <c r="AZ374" cm="1">
        <f t="array" ref="AZ374">_xlfn.IFS(E374="H",AW374*AI374-AV374,E374="D",AX374*AJ374-AV374,E374="A",AY374*AK374-AV374)</f>
        <v>29298594916.824219</v>
      </c>
      <c r="BA374">
        <f t="shared" si="34"/>
        <v>463316000881.04712</v>
      </c>
    </row>
    <row r="375" spans="1:53" x14ac:dyDescent="0.2">
      <c r="A375">
        <v>15</v>
      </c>
      <c r="B375" t="s">
        <v>55</v>
      </c>
      <c r="C375" s="1">
        <v>44534</v>
      </c>
      <c r="D375" t="s">
        <v>90</v>
      </c>
      <c r="E375" t="s">
        <v>57</v>
      </c>
      <c r="F375" t="s">
        <v>152</v>
      </c>
      <c r="G375" t="s">
        <v>284</v>
      </c>
      <c r="H375">
        <v>28706</v>
      </c>
      <c r="I375" t="s">
        <v>154</v>
      </c>
      <c r="J375" t="s">
        <v>129</v>
      </c>
      <c r="K375" t="s">
        <v>54</v>
      </c>
      <c r="L375">
        <v>2021</v>
      </c>
      <c r="M375">
        <v>2</v>
      </c>
      <c r="N375">
        <v>1.5</v>
      </c>
      <c r="O375">
        <v>0.75</v>
      </c>
      <c r="P375">
        <v>0.75</v>
      </c>
      <c r="Q375">
        <v>2.4500000000000002</v>
      </c>
      <c r="R375">
        <v>3.2</v>
      </c>
      <c r="S375">
        <v>3</v>
      </c>
      <c r="T375">
        <v>2.4500000000000002</v>
      </c>
      <c r="U375">
        <v>3.2</v>
      </c>
      <c r="V375">
        <v>2.95</v>
      </c>
      <c r="W375">
        <v>2.4500000000000002</v>
      </c>
      <c r="X375">
        <v>3.2</v>
      </c>
      <c r="Y375">
        <v>3.05</v>
      </c>
      <c r="Z375">
        <v>2.48</v>
      </c>
      <c r="AA375">
        <v>3.25</v>
      </c>
      <c r="AB375">
        <v>3.22</v>
      </c>
      <c r="AC375">
        <v>2.4500000000000002</v>
      </c>
      <c r="AD375">
        <v>3</v>
      </c>
      <c r="AE375">
        <v>3.1</v>
      </c>
      <c r="AF375">
        <v>2.38</v>
      </c>
      <c r="AG375">
        <v>3.13</v>
      </c>
      <c r="AH375">
        <v>3</v>
      </c>
      <c r="AI375">
        <v>2.54</v>
      </c>
      <c r="AJ375">
        <v>3.4</v>
      </c>
      <c r="AK375">
        <v>3.26</v>
      </c>
      <c r="AL375">
        <v>2.4500000000000002</v>
      </c>
      <c r="AM375">
        <v>3.21</v>
      </c>
      <c r="AN375">
        <v>3.1</v>
      </c>
      <c r="AO375">
        <v>1</v>
      </c>
      <c r="AP375">
        <v>0.39585148783588803</v>
      </c>
      <c r="AQ375">
        <v>0.295724346795045</v>
      </c>
      <c r="AR375">
        <v>0.30842416536906597</v>
      </c>
      <c r="AS375">
        <v>1</v>
      </c>
      <c r="AT375">
        <v>5.4627791031558398E-3</v>
      </c>
      <c r="AU375">
        <v>2.49011639230695</v>
      </c>
      <c r="AV375">
        <f t="shared" si="30"/>
        <v>6457656307220.8232</v>
      </c>
      <c r="AW375">
        <f t="shared" si="31"/>
        <v>2556272857146.1694</v>
      </c>
      <c r="AX375">
        <f t="shared" si="32"/>
        <v>1909686193279.7856</v>
      </c>
      <c r="AY375">
        <f t="shared" si="33"/>
        <v>1991697256794.8684</v>
      </c>
      <c r="AZ375" cm="1">
        <f t="array" ref="AZ375">_xlfn.IFS(E375="H",AW375*AI375-AV375,E375="D",AX375*AJ375-AV375,E375="A",AY375*AK375-AV375)</f>
        <v>35276749930.448242</v>
      </c>
      <c r="BA375">
        <f t="shared" si="34"/>
        <v>498592750811.49536</v>
      </c>
    </row>
    <row r="376" spans="1:53" x14ac:dyDescent="0.2">
      <c r="A376">
        <v>16</v>
      </c>
      <c r="B376" t="s">
        <v>55</v>
      </c>
      <c r="C376" s="1">
        <v>44534</v>
      </c>
      <c r="D376" t="s">
        <v>378</v>
      </c>
      <c r="E376" t="s">
        <v>74</v>
      </c>
      <c r="F376" t="s">
        <v>87</v>
      </c>
      <c r="G376" t="s">
        <v>236</v>
      </c>
      <c r="H376">
        <v>66529</v>
      </c>
      <c r="I376" t="s">
        <v>167</v>
      </c>
      <c r="J376" t="s">
        <v>442</v>
      </c>
      <c r="K376" t="s">
        <v>54</v>
      </c>
      <c r="L376">
        <v>2021</v>
      </c>
      <c r="M376">
        <v>1.75</v>
      </c>
      <c r="N376">
        <v>1.5</v>
      </c>
      <c r="O376">
        <v>1.5</v>
      </c>
      <c r="P376">
        <v>1</v>
      </c>
      <c r="Q376">
        <v>1.5</v>
      </c>
      <c r="R376">
        <v>4.5</v>
      </c>
      <c r="S376">
        <v>6.5</v>
      </c>
      <c r="T376">
        <v>1.5</v>
      </c>
      <c r="U376">
        <v>4.5</v>
      </c>
      <c r="V376">
        <v>6</v>
      </c>
      <c r="W376">
        <v>1.53</v>
      </c>
      <c r="X376">
        <v>4.5999999999999996</v>
      </c>
      <c r="Y376">
        <v>5.5</v>
      </c>
      <c r="Z376">
        <v>1.52</v>
      </c>
      <c r="AA376">
        <v>4.8</v>
      </c>
      <c r="AB376">
        <v>6.28</v>
      </c>
      <c r="AC376">
        <v>1.47</v>
      </c>
      <c r="AD376">
        <v>4.5</v>
      </c>
      <c r="AE376">
        <v>6.5</v>
      </c>
      <c r="AF376">
        <v>1.45</v>
      </c>
      <c r="AG376">
        <v>4.5</v>
      </c>
      <c r="AH376">
        <v>6</v>
      </c>
      <c r="AI376">
        <v>1.54</v>
      </c>
      <c r="AJ376">
        <v>5</v>
      </c>
      <c r="AK376">
        <v>6.75</v>
      </c>
      <c r="AL376">
        <v>1.5</v>
      </c>
      <c r="AM376">
        <v>4.71</v>
      </c>
      <c r="AN376">
        <v>6.11</v>
      </c>
      <c r="AO376">
        <v>1</v>
      </c>
      <c r="AP376">
        <v>0.65097887935191401</v>
      </c>
      <c r="AQ376">
        <v>0.20050149484038901</v>
      </c>
      <c r="AR376">
        <v>0.14851962580769601</v>
      </c>
      <c r="AS376">
        <v>1</v>
      </c>
      <c r="AT376">
        <v>2.5074742019479601E-3</v>
      </c>
      <c r="AU376">
        <v>2.4926238665089002</v>
      </c>
      <c r="AV376">
        <f t="shared" si="30"/>
        <v>6956249058032.3184</v>
      </c>
      <c r="AW376">
        <f t="shared" si="31"/>
        <v>4528371216290.6885</v>
      </c>
      <c r="AX376">
        <f t="shared" si="32"/>
        <v>1394738334617.532</v>
      </c>
      <c r="AY376">
        <f t="shared" si="33"/>
        <v>1033139507124.0978</v>
      </c>
      <c r="AZ376" cm="1">
        <f t="array" ref="AZ376">_xlfn.IFS(E376="H",AW376*AI376-AV376,E376="D",AX376*AJ376-AV376,E376="A",AY376*AK376-AV376)</f>
        <v>17442615055.341797</v>
      </c>
      <c r="BA376">
        <f t="shared" si="34"/>
        <v>516035365866.83716</v>
      </c>
    </row>
    <row r="377" spans="1:53" x14ac:dyDescent="0.2">
      <c r="A377">
        <v>16</v>
      </c>
      <c r="B377" t="s">
        <v>198</v>
      </c>
      <c r="C377" s="1">
        <v>44536</v>
      </c>
      <c r="D377" t="s">
        <v>48</v>
      </c>
      <c r="E377" t="s">
        <v>57</v>
      </c>
      <c r="F377" t="s">
        <v>141</v>
      </c>
      <c r="G377" t="s">
        <v>375</v>
      </c>
      <c r="H377">
        <v>8799</v>
      </c>
      <c r="I377" t="s">
        <v>143</v>
      </c>
      <c r="J377" t="s">
        <v>323</v>
      </c>
      <c r="K377" t="s">
        <v>54</v>
      </c>
      <c r="L377">
        <v>2021</v>
      </c>
      <c r="M377">
        <v>1</v>
      </c>
      <c r="N377">
        <v>1.5</v>
      </c>
      <c r="O377">
        <v>0</v>
      </c>
      <c r="P377">
        <v>0</v>
      </c>
      <c r="Q377">
        <v>3.5</v>
      </c>
      <c r="R377">
        <v>3.2</v>
      </c>
      <c r="S377">
        <v>2.25</v>
      </c>
      <c r="T377">
        <v>3.25</v>
      </c>
      <c r="U377">
        <v>3.3</v>
      </c>
      <c r="V377">
        <v>2.2000000000000002</v>
      </c>
      <c r="W377">
        <v>3.15</v>
      </c>
      <c r="X377">
        <v>3.3</v>
      </c>
      <c r="Y377">
        <v>2.2999999999999998</v>
      </c>
      <c r="Z377">
        <v>3.4</v>
      </c>
      <c r="AA377">
        <v>3.24</v>
      </c>
      <c r="AB377">
        <v>2.38</v>
      </c>
      <c r="AC377">
        <v>3.2</v>
      </c>
      <c r="AD377">
        <v>3.3</v>
      </c>
      <c r="AE377">
        <v>2.2999999999999998</v>
      </c>
      <c r="AF377">
        <v>3.3</v>
      </c>
      <c r="AG377">
        <v>3.13</v>
      </c>
      <c r="AH377">
        <v>2.2999999999999998</v>
      </c>
      <c r="AI377">
        <v>3.5</v>
      </c>
      <c r="AJ377">
        <v>3.48</v>
      </c>
      <c r="AK377">
        <v>2.65</v>
      </c>
      <c r="AL377">
        <v>3.23</v>
      </c>
      <c r="AM377">
        <v>3.26</v>
      </c>
      <c r="AN377">
        <v>2.3199999999999998</v>
      </c>
      <c r="AO377">
        <v>1</v>
      </c>
      <c r="AP377">
        <v>0.300616096750008</v>
      </c>
      <c r="AQ377">
        <v>0.30234377546696201</v>
      </c>
      <c r="AR377">
        <v>0.397040127783029</v>
      </c>
      <c r="AS377">
        <v>1</v>
      </c>
      <c r="AT377">
        <v>5.2156338625028498E-2</v>
      </c>
      <c r="AU377">
        <v>2.5447802051339301</v>
      </c>
      <c r="AV377">
        <f t="shared" si="30"/>
        <v>7472284423899.1553</v>
      </c>
      <c r="AW377">
        <f t="shared" si="31"/>
        <v>2246288977318.4473</v>
      </c>
      <c r="AX377">
        <f t="shared" si="32"/>
        <v>2259198684084.6455</v>
      </c>
      <c r="AY377">
        <f t="shared" si="33"/>
        <v>2966796762496.0625</v>
      </c>
      <c r="AZ377" cm="1">
        <f t="array" ref="AZ377">_xlfn.IFS(E377="H",AW377*AI377-AV377,E377="D",AX377*AJ377-AV377,E377="A",AY377*AK377-AV377)</f>
        <v>389726996715.41113</v>
      </c>
      <c r="BA377">
        <f t="shared" si="34"/>
        <v>905762362582.24829</v>
      </c>
    </row>
    <row r="378" spans="1:53" x14ac:dyDescent="0.2">
      <c r="A378">
        <v>15</v>
      </c>
      <c r="B378" t="s">
        <v>47</v>
      </c>
      <c r="C378" s="1">
        <v>44540</v>
      </c>
      <c r="D378" t="s">
        <v>199</v>
      </c>
      <c r="E378" t="s">
        <v>74</v>
      </c>
      <c r="F378" t="s">
        <v>223</v>
      </c>
      <c r="G378" t="s">
        <v>148</v>
      </c>
      <c r="H378">
        <v>15000</v>
      </c>
      <c r="I378" t="s">
        <v>224</v>
      </c>
      <c r="J378" t="s">
        <v>146</v>
      </c>
      <c r="K378" t="s">
        <v>54</v>
      </c>
      <c r="L378">
        <v>2021</v>
      </c>
      <c r="M378">
        <v>2</v>
      </c>
      <c r="N378">
        <v>2.75</v>
      </c>
      <c r="O378">
        <v>0.25</v>
      </c>
      <c r="P378">
        <v>0.75</v>
      </c>
      <c r="Q378">
        <v>1.65</v>
      </c>
      <c r="R378">
        <v>4</v>
      </c>
      <c r="S378">
        <v>5</v>
      </c>
      <c r="T378">
        <v>1.62</v>
      </c>
      <c r="U378">
        <v>4.0999999999999996</v>
      </c>
      <c r="V378">
        <v>5</v>
      </c>
      <c r="W378">
        <v>1.75</v>
      </c>
      <c r="X378">
        <v>3.85</v>
      </c>
      <c r="Y378">
        <v>4.5999999999999996</v>
      </c>
      <c r="Z378">
        <v>1.72</v>
      </c>
      <c r="AA378">
        <v>3.93</v>
      </c>
      <c r="AB378">
        <v>5.28</v>
      </c>
      <c r="AC378">
        <v>1.63</v>
      </c>
      <c r="AD378">
        <v>4</v>
      </c>
      <c r="AE378">
        <v>5</v>
      </c>
      <c r="AF378">
        <v>1.67</v>
      </c>
      <c r="AG378">
        <v>4.0999999999999996</v>
      </c>
      <c r="AH378">
        <v>4.75</v>
      </c>
      <c r="AI378">
        <v>1.75</v>
      </c>
      <c r="AJ378">
        <v>4.28</v>
      </c>
      <c r="AK378">
        <v>5.28</v>
      </c>
      <c r="AL378">
        <v>1.69</v>
      </c>
      <c r="AM378">
        <v>3.98</v>
      </c>
      <c r="AN378">
        <v>4.9800000000000004</v>
      </c>
      <c r="AO378">
        <v>1</v>
      </c>
      <c r="AP378">
        <v>0.57460766265599394</v>
      </c>
      <c r="AQ378">
        <v>0.23494472188037099</v>
      </c>
      <c r="AR378">
        <v>0.19044761546363401</v>
      </c>
      <c r="AS378">
        <v>1</v>
      </c>
      <c r="AT378">
        <v>5.5634096479897296E-3</v>
      </c>
      <c r="AU378">
        <v>2.5503436147819198</v>
      </c>
      <c r="AV378">
        <f t="shared" si="30"/>
        <v>8378046786481.4033</v>
      </c>
      <c r="AW378">
        <f t="shared" si="31"/>
        <v>4814089881602.6426</v>
      </c>
      <c r="AX378">
        <f t="shared" si="32"/>
        <v>1968377872150.613</v>
      </c>
      <c r="AY378">
        <f t="shared" si="33"/>
        <v>1595579032728.1482</v>
      </c>
      <c r="AZ378" cm="1">
        <f t="array" ref="AZ378">_xlfn.IFS(E378="H",AW378*AI378-AV378,E378="D",AX378*AJ378-AV378,E378="A",AY378*AK378-AV378)</f>
        <v>46610506323.219727</v>
      </c>
      <c r="BA378">
        <f t="shared" si="34"/>
        <v>952372868905.46802</v>
      </c>
    </row>
    <row r="379" spans="1:53" x14ac:dyDescent="0.2">
      <c r="A379">
        <v>16</v>
      </c>
      <c r="B379" t="s">
        <v>55</v>
      </c>
      <c r="C379" s="1">
        <v>44541</v>
      </c>
      <c r="D379" t="s">
        <v>409</v>
      </c>
      <c r="E379" t="s">
        <v>49</v>
      </c>
      <c r="F379" t="s">
        <v>101</v>
      </c>
      <c r="G379" t="s">
        <v>404</v>
      </c>
      <c r="H379">
        <v>52613</v>
      </c>
      <c r="I379" t="s">
        <v>290</v>
      </c>
      <c r="J379" t="s">
        <v>332</v>
      </c>
      <c r="K379" t="s">
        <v>54</v>
      </c>
      <c r="L379">
        <v>2021</v>
      </c>
      <c r="M379">
        <v>2.25</v>
      </c>
      <c r="N379">
        <v>1.75</v>
      </c>
      <c r="O379">
        <v>1.25</v>
      </c>
      <c r="P379">
        <v>1</v>
      </c>
      <c r="Q379">
        <v>1.1399999999999999</v>
      </c>
      <c r="R379">
        <v>8</v>
      </c>
      <c r="S379">
        <v>19</v>
      </c>
      <c r="T379">
        <v>1.17</v>
      </c>
      <c r="U379">
        <v>7.75</v>
      </c>
      <c r="V379">
        <v>16</v>
      </c>
      <c r="W379">
        <v>1.1499999999999999</v>
      </c>
      <c r="X379">
        <v>7.75</v>
      </c>
      <c r="Y379">
        <v>19</v>
      </c>
      <c r="Z379">
        <v>1.17</v>
      </c>
      <c r="AA379">
        <v>8.2100000000000009</v>
      </c>
      <c r="AB379">
        <v>20.21</v>
      </c>
      <c r="AC379">
        <v>1.1399999999999999</v>
      </c>
      <c r="AD379">
        <v>7.5</v>
      </c>
      <c r="AE379">
        <v>21</v>
      </c>
      <c r="AF379">
        <v>1.1299999999999999</v>
      </c>
      <c r="AG379">
        <v>8.5</v>
      </c>
      <c r="AH379">
        <v>23</v>
      </c>
      <c r="AI379">
        <v>1.19</v>
      </c>
      <c r="AJ379">
        <v>8.8000000000000007</v>
      </c>
      <c r="AK379">
        <v>25</v>
      </c>
      <c r="AL379">
        <v>1.1599999999999999</v>
      </c>
      <c r="AM379">
        <v>8.11</v>
      </c>
      <c r="AN379">
        <v>20.350000000000001</v>
      </c>
      <c r="AO379">
        <v>1</v>
      </c>
      <c r="AP379">
        <v>0.84543197731167996</v>
      </c>
      <c r="AQ379">
        <v>0.11432546056828299</v>
      </c>
      <c r="AR379">
        <v>4.02425621200359E-2</v>
      </c>
      <c r="AS379">
        <v>0.999999999999999</v>
      </c>
      <c r="AT379">
        <v>6.0640530008990697E-3</v>
      </c>
      <c r="AU379">
        <v>2.5564076677828198</v>
      </c>
      <c r="AV379">
        <f t="shared" si="30"/>
        <v>9330419655386.8711</v>
      </c>
      <c r="AW379">
        <f t="shared" si="31"/>
        <v>7888235138401.4854</v>
      </c>
      <c r="AX379">
        <f t="shared" si="32"/>
        <v>1066704524397.4735</v>
      </c>
      <c r="AY379">
        <f t="shared" si="33"/>
        <v>375479992587.91077</v>
      </c>
      <c r="AZ379" cm="1">
        <f t="array" ref="AZ379">_xlfn.IFS(E379="H",AW379*AI379-AV379,E379="D",AX379*AJ379-AV379,E379="A",AY379*AK379-AV379)</f>
        <v>56580159310.896484</v>
      </c>
      <c r="BA379">
        <f t="shared" si="34"/>
        <v>1008953028216.3645</v>
      </c>
    </row>
    <row r="380" spans="1:53" x14ac:dyDescent="0.2">
      <c r="A380">
        <v>17</v>
      </c>
      <c r="B380" t="s">
        <v>55</v>
      </c>
      <c r="C380" s="1">
        <v>44541</v>
      </c>
      <c r="D380" t="s">
        <v>68</v>
      </c>
      <c r="E380" t="s">
        <v>74</v>
      </c>
      <c r="F380" t="s">
        <v>311</v>
      </c>
      <c r="G380" t="s">
        <v>161</v>
      </c>
      <c r="H380">
        <v>36737</v>
      </c>
      <c r="I380" t="s">
        <v>397</v>
      </c>
      <c r="J380" t="s">
        <v>391</v>
      </c>
      <c r="K380" t="s">
        <v>54</v>
      </c>
      <c r="L380">
        <v>2021</v>
      </c>
      <c r="M380">
        <v>1.75</v>
      </c>
      <c r="N380">
        <v>1.25</v>
      </c>
      <c r="O380">
        <v>1.75</v>
      </c>
      <c r="P380">
        <v>1.25</v>
      </c>
      <c r="Q380">
        <v>2.5</v>
      </c>
      <c r="R380">
        <v>3</v>
      </c>
      <c r="S380">
        <v>3.1</v>
      </c>
      <c r="T380">
        <v>2.6</v>
      </c>
      <c r="U380">
        <v>3.1</v>
      </c>
      <c r="V380">
        <v>2.85</v>
      </c>
      <c r="W380">
        <v>2.5</v>
      </c>
      <c r="X380">
        <v>3.05</v>
      </c>
      <c r="Y380">
        <v>3.1</v>
      </c>
      <c r="Z380">
        <v>2.58</v>
      </c>
      <c r="AA380">
        <v>3.1</v>
      </c>
      <c r="AB380">
        <v>3.21</v>
      </c>
      <c r="AC380">
        <v>2.5</v>
      </c>
      <c r="AD380">
        <v>3</v>
      </c>
      <c r="AE380">
        <v>3.1</v>
      </c>
      <c r="AF380">
        <v>2.4500000000000002</v>
      </c>
      <c r="AG380">
        <v>3</v>
      </c>
      <c r="AH380">
        <v>3</v>
      </c>
      <c r="AI380">
        <v>2.67</v>
      </c>
      <c r="AJ380">
        <v>3.2</v>
      </c>
      <c r="AK380">
        <v>3.26</v>
      </c>
      <c r="AL380">
        <v>2.54</v>
      </c>
      <c r="AM380">
        <v>3.06</v>
      </c>
      <c r="AN380">
        <v>3.1</v>
      </c>
      <c r="AO380">
        <v>1</v>
      </c>
      <c r="AP380">
        <v>0.37687588962507401</v>
      </c>
      <c r="AQ380">
        <v>0.31445582040592102</v>
      </c>
      <c r="AR380">
        <v>0.30866828996900297</v>
      </c>
      <c r="AS380">
        <v>1</v>
      </c>
      <c r="AT380">
        <v>6.2586252989502702E-3</v>
      </c>
      <c r="AU380">
        <v>2.5626662930817701</v>
      </c>
      <c r="AV380">
        <f t="shared" si="30"/>
        <v>10339372683603.236</v>
      </c>
      <c r="AW380">
        <f t="shared" si="31"/>
        <v>3896660278298.1685</v>
      </c>
      <c r="AX380">
        <f t="shared" si="32"/>
        <v>3251275919705.0337</v>
      </c>
      <c r="AY380">
        <f t="shared" si="33"/>
        <v>3191436485600.0342</v>
      </c>
      <c r="AZ380" cm="1">
        <f t="array" ref="AZ380">_xlfn.IFS(E380="H",AW380*AI380-AV380,E380="D",AX380*AJ380-AV380,E380="A",AY380*AK380-AV380)</f>
        <v>64710259452.875</v>
      </c>
      <c r="BA380">
        <f t="shared" si="34"/>
        <v>1073663287669.2395</v>
      </c>
    </row>
    <row r="381" spans="1:53" x14ac:dyDescent="0.2">
      <c r="A381">
        <v>18</v>
      </c>
      <c r="B381" t="s">
        <v>55</v>
      </c>
      <c r="C381" s="1">
        <v>44541</v>
      </c>
      <c r="D381" t="s">
        <v>82</v>
      </c>
      <c r="E381" t="s">
        <v>74</v>
      </c>
      <c r="F381" t="s">
        <v>96</v>
      </c>
      <c r="G381" t="s">
        <v>64</v>
      </c>
      <c r="H381">
        <v>13111</v>
      </c>
      <c r="I381" t="s">
        <v>443</v>
      </c>
      <c r="J381" t="s">
        <v>53</v>
      </c>
      <c r="K381" t="s">
        <v>54</v>
      </c>
      <c r="L381">
        <v>2021</v>
      </c>
      <c r="M381">
        <v>2.5</v>
      </c>
      <c r="N381">
        <v>2</v>
      </c>
      <c r="O381">
        <v>1.5</v>
      </c>
      <c r="P381">
        <v>1.25</v>
      </c>
      <c r="Q381">
        <v>2.0499999999999998</v>
      </c>
      <c r="R381">
        <v>3.5</v>
      </c>
      <c r="S381">
        <v>3.5</v>
      </c>
      <c r="T381">
        <v>2.1</v>
      </c>
      <c r="U381">
        <v>3.7</v>
      </c>
      <c r="V381">
        <v>3.2</v>
      </c>
      <c r="W381">
        <v>2.1</v>
      </c>
      <c r="X381">
        <v>3.55</v>
      </c>
      <c r="Y381">
        <v>3.4</v>
      </c>
      <c r="Z381">
        <v>2.11</v>
      </c>
      <c r="AA381">
        <v>3.71</v>
      </c>
      <c r="AB381">
        <v>3.58</v>
      </c>
      <c r="AC381">
        <v>2.1</v>
      </c>
      <c r="AD381">
        <v>3.5</v>
      </c>
      <c r="AE381">
        <v>3.4</v>
      </c>
      <c r="AF381">
        <v>2.0499999999999998</v>
      </c>
      <c r="AG381">
        <v>3.5</v>
      </c>
      <c r="AH381">
        <v>3.5</v>
      </c>
      <c r="AI381">
        <v>2.1800000000000002</v>
      </c>
      <c r="AJ381">
        <v>3.84</v>
      </c>
      <c r="AK381">
        <v>3.6</v>
      </c>
      <c r="AL381">
        <v>2.09</v>
      </c>
      <c r="AM381">
        <v>3.58</v>
      </c>
      <c r="AN381">
        <v>3.44</v>
      </c>
      <c r="AO381">
        <v>1</v>
      </c>
      <c r="AP381">
        <v>0.46013740214091697</v>
      </c>
      <c r="AQ381">
        <v>0.26122383767374902</v>
      </c>
      <c r="AR381">
        <v>0.27863876018533301</v>
      </c>
      <c r="AS381">
        <v>1</v>
      </c>
      <c r="AT381">
        <v>3.0995366671993001E-3</v>
      </c>
      <c r="AU381">
        <v>2.5657658297489698</v>
      </c>
      <c r="AV381">
        <f t="shared" si="30"/>
        <v>11413035971272.477</v>
      </c>
      <c r="AW381">
        <f t="shared" si="31"/>
        <v>5251564722362.1553</v>
      </c>
      <c r="AX381">
        <f t="shared" si="32"/>
        <v>2981357055924.3491</v>
      </c>
      <c r="AY381">
        <f t="shared" si="33"/>
        <v>3180114192985.9722</v>
      </c>
      <c r="AZ381" cm="1">
        <f t="array" ref="AZ381">_xlfn.IFS(E381="H",AW381*AI381-AV381,E381="D",AX381*AJ381-AV381,E381="A",AY381*AK381-AV381)</f>
        <v>35375123477.023438</v>
      </c>
      <c r="BA381">
        <f t="shared" si="34"/>
        <v>1109038411146.2629</v>
      </c>
    </row>
    <row r="382" spans="1:53" x14ac:dyDescent="0.2">
      <c r="A382">
        <v>17</v>
      </c>
      <c r="B382" t="s">
        <v>67</v>
      </c>
      <c r="C382" s="1">
        <v>44542</v>
      </c>
      <c r="D382" t="s">
        <v>107</v>
      </c>
      <c r="E382" t="s">
        <v>49</v>
      </c>
      <c r="F382" t="s">
        <v>109</v>
      </c>
      <c r="G382" t="s">
        <v>184</v>
      </c>
      <c r="H382">
        <v>5100</v>
      </c>
      <c r="I382" t="s">
        <v>123</v>
      </c>
      <c r="J382" t="s">
        <v>387</v>
      </c>
      <c r="K382" t="s">
        <v>54</v>
      </c>
      <c r="L382">
        <v>2021</v>
      </c>
      <c r="M382">
        <v>1.25</v>
      </c>
      <c r="N382">
        <v>2</v>
      </c>
      <c r="O382">
        <v>1</v>
      </c>
      <c r="P382">
        <v>1.5</v>
      </c>
      <c r="Q382">
        <v>2.7</v>
      </c>
      <c r="R382">
        <v>3.5</v>
      </c>
      <c r="S382">
        <v>2.5</v>
      </c>
      <c r="T382">
        <v>2.75</v>
      </c>
      <c r="U382">
        <v>3.7</v>
      </c>
      <c r="V382">
        <v>2.35</v>
      </c>
      <c r="W382">
        <v>2.65</v>
      </c>
      <c r="X382">
        <v>3.5</v>
      </c>
      <c r="Y382">
        <v>2.5499999999999998</v>
      </c>
      <c r="Z382">
        <v>2.72</v>
      </c>
      <c r="AA382">
        <v>3.65</v>
      </c>
      <c r="AB382">
        <v>2.63</v>
      </c>
      <c r="AC382">
        <v>2.62</v>
      </c>
      <c r="AD382">
        <v>3.5</v>
      </c>
      <c r="AE382">
        <v>2.5499999999999998</v>
      </c>
      <c r="AF382">
        <v>2.63</v>
      </c>
      <c r="AG382">
        <v>3.5</v>
      </c>
      <c r="AH382">
        <v>2.5499999999999998</v>
      </c>
      <c r="AI382">
        <v>2.8</v>
      </c>
      <c r="AJ382">
        <v>3.76</v>
      </c>
      <c r="AK382">
        <v>2.69</v>
      </c>
      <c r="AL382">
        <v>2.67</v>
      </c>
      <c r="AM382">
        <v>3.55</v>
      </c>
      <c r="AN382">
        <v>2.56</v>
      </c>
      <c r="AO382">
        <v>1</v>
      </c>
      <c r="AP382">
        <v>0.35899256062240897</v>
      </c>
      <c r="AQ382">
        <v>0.267334885569879</v>
      </c>
      <c r="AR382">
        <v>0.37367255380771103</v>
      </c>
      <c r="AS382">
        <v>1</v>
      </c>
      <c r="AT382">
        <v>5.1791697427452299E-3</v>
      </c>
      <c r="AU382">
        <v>2.5709449994917102</v>
      </c>
      <c r="AV382">
        <f t="shared" si="30"/>
        <v>12522074382418.74</v>
      </c>
      <c r="AW382">
        <f t="shared" si="31"/>
        <v>4495331546848.7744</v>
      </c>
      <c r="AX382">
        <f t="shared" si="32"/>
        <v>3347587322121.4277</v>
      </c>
      <c r="AY382">
        <f t="shared" si="33"/>
        <v>4679155513448.5381</v>
      </c>
      <c r="AZ382" cm="1">
        <f t="array" ref="AZ382">_xlfn.IFS(E382="H",AW382*AI382-AV382,E382="D",AX382*AJ382-AV382,E382="A",AY382*AK382-AV382)</f>
        <v>64853948757.828125</v>
      </c>
      <c r="BA382">
        <f t="shared" si="34"/>
        <v>1173892359904.0911</v>
      </c>
    </row>
    <row r="383" spans="1:53" x14ac:dyDescent="0.2">
      <c r="A383">
        <v>17</v>
      </c>
      <c r="B383" t="s">
        <v>67</v>
      </c>
      <c r="C383" s="1">
        <v>44542</v>
      </c>
      <c r="D383" t="s">
        <v>68</v>
      </c>
      <c r="E383" t="s">
        <v>49</v>
      </c>
      <c r="F383" t="s">
        <v>271</v>
      </c>
      <c r="G383" t="s">
        <v>291</v>
      </c>
      <c r="H383">
        <v>51024</v>
      </c>
      <c r="I383" t="s">
        <v>444</v>
      </c>
      <c r="J383" t="s">
        <v>260</v>
      </c>
      <c r="K383" t="s">
        <v>54</v>
      </c>
      <c r="L383">
        <v>2021</v>
      </c>
      <c r="M383">
        <v>2.5</v>
      </c>
      <c r="N383">
        <v>1.25</v>
      </c>
      <c r="O383">
        <v>1.25</v>
      </c>
      <c r="P383">
        <v>2.25</v>
      </c>
      <c r="Q383">
        <v>2.0499999999999998</v>
      </c>
      <c r="R383">
        <v>3.5</v>
      </c>
      <c r="S383">
        <v>3.6</v>
      </c>
      <c r="T383">
        <v>2.0499999999999998</v>
      </c>
      <c r="U383">
        <v>3.6</v>
      </c>
      <c r="V383">
        <v>3.3</v>
      </c>
      <c r="W383">
        <v>2.15</v>
      </c>
      <c r="X383">
        <v>3.45</v>
      </c>
      <c r="Y383">
        <v>3.45</v>
      </c>
      <c r="Z383">
        <v>2.11</v>
      </c>
      <c r="AA383">
        <v>3.57</v>
      </c>
      <c r="AB383">
        <v>3.73</v>
      </c>
      <c r="AC383">
        <v>2.1</v>
      </c>
      <c r="AD383">
        <v>3.4</v>
      </c>
      <c r="AE383">
        <v>3.4</v>
      </c>
      <c r="AF383">
        <v>2.0499999999999998</v>
      </c>
      <c r="AG383">
        <v>3.4</v>
      </c>
      <c r="AH383">
        <v>3.4</v>
      </c>
      <c r="AI383">
        <v>2.17</v>
      </c>
      <c r="AJ383">
        <v>3.7</v>
      </c>
      <c r="AK383">
        <v>3.78</v>
      </c>
      <c r="AL383">
        <v>2.1</v>
      </c>
      <c r="AM383">
        <v>3.5</v>
      </c>
      <c r="AN383">
        <v>3.55</v>
      </c>
      <c r="AO383">
        <v>1</v>
      </c>
      <c r="AP383">
        <v>0.46284284655300201</v>
      </c>
      <c r="AQ383">
        <v>0.27145107487027398</v>
      </c>
      <c r="AR383">
        <v>0.26570607857672301</v>
      </c>
      <c r="AS383">
        <v>1</v>
      </c>
      <c r="AT383">
        <v>4.3689770200148097E-3</v>
      </c>
      <c r="AU383">
        <v>2.5753139765117301</v>
      </c>
      <c r="AV383">
        <f t="shared" si="30"/>
        <v>13695966742322.832</v>
      </c>
      <c r="AW383">
        <f t="shared" si="31"/>
        <v>6339080233311.9482</v>
      </c>
      <c r="AX383">
        <f t="shared" si="32"/>
        <v>3717784893591.061</v>
      </c>
      <c r="AY383">
        <f t="shared" si="33"/>
        <v>3639101615419.8223</v>
      </c>
      <c r="AZ383" cm="1">
        <f t="array" ref="AZ383">_xlfn.IFS(E383="H",AW383*AI383-AV383,E383="D",AX383*AJ383-AV383,E383="A",AY383*AK383-AV383)</f>
        <v>59837363964.095703</v>
      </c>
      <c r="BA383">
        <f t="shared" si="34"/>
        <v>1233729723868.1868</v>
      </c>
    </row>
    <row r="384" spans="1:53" x14ac:dyDescent="0.2">
      <c r="A384">
        <v>18</v>
      </c>
      <c r="B384" t="s">
        <v>67</v>
      </c>
      <c r="C384" s="1">
        <v>44542</v>
      </c>
      <c r="D384" t="s">
        <v>329</v>
      </c>
      <c r="E384" t="s">
        <v>57</v>
      </c>
      <c r="F384" t="s">
        <v>326</v>
      </c>
      <c r="G384" t="s">
        <v>50</v>
      </c>
      <c r="H384">
        <v>40248</v>
      </c>
      <c r="I384" t="s">
        <v>327</v>
      </c>
      <c r="J384" t="s">
        <v>445</v>
      </c>
      <c r="K384" t="s">
        <v>54</v>
      </c>
      <c r="L384">
        <v>2021</v>
      </c>
      <c r="M384">
        <v>1.5</v>
      </c>
      <c r="N384">
        <v>1.25</v>
      </c>
      <c r="O384">
        <v>1</v>
      </c>
      <c r="P384">
        <v>1.5</v>
      </c>
      <c r="Q384">
        <v>2.2999999999999998</v>
      </c>
      <c r="R384">
        <v>3.6</v>
      </c>
      <c r="S384">
        <v>2.9</v>
      </c>
      <c r="T384">
        <v>2.37</v>
      </c>
      <c r="U384">
        <v>3.7</v>
      </c>
      <c r="V384">
        <v>2.7</v>
      </c>
      <c r="W384">
        <v>2.4</v>
      </c>
      <c r="X384">
        <v>3.5</v>
      </c>
      <c r="Y384">
        <v>2.85</v>
      </c>
      <c r="Z384">
        <v>2.36</v>
      </c>
      <c r="AA384">
        <v>3.72</v>
      </c>
      <c r="AB384">
        <v>3.03</v>
      </c>
      <c r="AC384">
        <v>2.38</v>
      </c>
      <c r="AD384">
        <v>3.5</v>
      </c>
      <c r="AE384">
        <v>2.8</v>
      </c>
      <c r="AF384">
        <v>2.38</v>
      </c>
      <c r="AG384">
        <v>3.5</v>
      </c>
      <c r="AH384">
        <v>2.88</v>
      </c>
      <c r="AI384">
        <v>2.4700000000000002</v>
      </c>
      <c r="AJ384">
        <v>3.8</v>
      </c>
      <c r="AK384">
        <v>3.05</v>
      </c>
      <c r="AL384">
        <v>2.37</v>
      </c>
      <c r="AM384">
        <v>3.58</v>
      </c>
      <c r="AN384">
        <v>2.9</v>
      </c>
      <c r="AO384">
        <v>1</v>
      </c>
      <c r="AP384">
        <v>0.40653115628123898</v>
      </c>
      <c r="AQ384">
        <v>0.26424525158280499</v>
      </c>
      <c r="AR384">
        <v>0.32922359213595398</v>
      </c>
      <c r="AS384">
        <v>1</v>
      </c>
      <c r="AT384">
        <v>4.1319560146617597E-3</v>
      </c>
      <c r="AU384">
        <v>2.5794459325263901</v>
      </c>
      <c r="AV384">
        <f t="shared" si="30"/>
        <v>14929696466191.02</v>
      </c>
      <c r="AW384">
        <f t="shared" si="31"/>
        <v>6069386767328.5713</v>
      </c>
      <c r="AX384">
        <f t="shared" si="32"/>
        <v>3945101398763.5718</v>
      </c>
      <c r="AY384">
        <f t="shared" si="33"/>
        <v>4915208300098.877</v>
      </c>
      <c r="AZ384" cm="1">
        <f t="array" ref="AZ384">_xlfn.IFS(E384="H",AW384*AI384-AV384,E384="D",AX384*AJ384-AV384,E384="A",AY384*AK384-AV384)</f>
        <v>61688849110.552734</v>
      </c>
      <c r="BA384">
        <f t="shared" si="34"/>
        <v>1295418572978.7395</v>
      </c>
    </row>
    <row r="385" spans="1:53" x14ac:dyDescent="0.2">
      <c r="A385">
        <v>16</v>
      </c>
      <c r="B385" t="s">
        <v>130</v>
      </c>
      <c r="C385" s="1">
        <v>44544</v>
      </c>
      <c r="D385" t="s">
        <v>190</v>
      </c>
      <c r="E385" t="s">
        <v>74</v>
      </c>
      <c r="F385" t="s">
        <v>364</v>
      </c>
      <c r="G385" t="s">
        <v>191</v>
      </c>
      <c r="H385">
        <v>750</v>
      </c>
      <c r="I385" t="s">
        <v>370</v>
      </c>
      <c r="J385" t="s">
        <v>150</v>
      </c>
      <c r="K385" t="s">
        <v>54</v>
      </c>
      <c r="L385">
        <v>2021</v>
      </c>
      <c r="M385">
        <v>1.25</v>
      </c>
      <c r="N385">
        <v>1.25</v>
      </c>
      <c r="O385">
        <v>2.25</v>
      </c>
      <c r="P385">
        <v>3.5</v>
      </c>
      <c r="Q385">
        <v>9</v>
      </c>
      <c r="R385">
        <v>6</v>
      </c>
      <c r="S385">
        <v>1.28</v>
      </c>
      <c r="T385">
        <v>10</v>
      </c>
      <c r="U385">
        <v>6</v>
      </c>
      <c r="V385">
        <v>1.28</v>
      </c>
      <c r="W385">
        <v>8.25</v>
      </c>
      <c r="X385">
        <v>5.75</v>
      </c>
      <c r="Y385">
        <v>1.33</v>
      </c>
      <c r="Z385">
        <v>9.74</v>
      </c>
      <c r="AA385">
        <v>6.72</v>
      </c>
      <c r="AB385">
        <v>1.29</v>
      </c>
      <c r="AC385">
        <v>9.5</v>
      </c>
      <c r="AD385">
        <v>6.5</v>
      </c>
      <c r="AE385">
        <v>1.25</v>
      </c>
      <c r="AF385">
        <v>9.5</v>
      </c>
      <c r="AG385">
        <v>6.5</v>
      </c>
      <c r="AH385">
        <v>1.25</v>
      </c>
      <c r="AI385">
        <v>11</v>
      </c>
      <c r="AJ385">
        <v>6.85</v>
      </c>
      <c r="AK385">
        <v>1.33</v>
      </c>
      <c r="AL385">
        <v>9.5500000000000007</v>
      </c>
      <c r="AM385">
        <v>6.36</v>
      </c>
      <c r="AN385">
        <v>1.29</v>
      </c>
      <c r="AO385">
        <v>1</v>
      </c>
      <c r="AP385">
        <v>9.1941205261856507E-2</v>
      </c>
      <c r="AQ385">
        <v>0.14764281136940399</v>
      </c>
      <c r="AR385">
        <v>0.76041598336873795</v>
      </c>
      <c r="AS385">
        <v>1</v>
      </c>
      <c r="AT385">
        <v>1.1353257880422501E-2</v>
      </c>
      <c r="AU385">
        <v>2.5907991904068099</v>
      </c>
      <c r="AV385">
        <f t="shared" si="30"/>
        <v>16225115039169.76</v>
      </c>
      <c r="AW385">
        <f t="shared" si="31"/>
        <v>1491756632213.5432</v>
      </c>
      <c r="AX385">
        <f t="shared" si="32"/>
        <v>2395521599175.0332</v>
      </c>
      <c r="AY385">
        <f t="shared" si="33"/>
        <v>12337836807781.184</v>
      </c>
      <c r="AZ385" cm="1">
        <f t="array" ref="AZ385">_xlfn.IFS(E385="H",AW385*AI385-AV385,E385="D",AX385*AJ385-AV385,E385="A",AY385*AK385-AV385)</f>
        <v>184207915179.21484</v>
      </c>
      <c r="BA385">
        <f t="shared" si="34"/>
        <v>1479626488157.9543</v>
      </c>
    </row>
    <row r="386" spans="1:53" x14ac:dyDescent="0.2">
      <c r="A386">
        <v>17</v>
      </c>
      <c r="B386" t="s">
        <v>202</v>
      </c>
      <c r="C386" s="1">
        <v>44545</v>
      </c>
      <c r="D386" t="s">
        <v>203</v>
      </c>
      <c r="E386" t="s">
        <v>57</v>
      </c>
      <c r="F386" t="s">
        <v>281</v>
      </c>
      <c r="G386" t="s">
        <v>152</v>
      </c>
      <c r="H386">
        <v>22861</v>
      </c>
      <c r="I386" t="s">
        <v>282</v>
      </c>
      <c r="J386" t="s">
        <v>283</v>
      </c>
      <c r="K386" t="s">
        <v>54</v>
      </c>
      <c r="L386">
        <v>2021</v>
      </c>
      <c r="M386">
        <v>1.75</v>
      </c>
      <c r="N386">
        <v>1.75</v>
      </c>
      <c r="O386">
        <v>0.75</v>
      </c>
      <c r="P386">
        <v>0.5</v>
      </c>
      <c r="Q386">
        <v>2.15</v>
      </c>
      <c r="R386">
        <v>3.3</v>
      </c>
      <c r="S386">
        <v>3.5</v>
      </c>
      <c r="T386">
        <v>2.15</v>
      </c>
      <c r="U386">
        <v>3.3</v>
      </c>
      <c r="V386">
        <v>3.5</v>
      </c>
      <c r="W386">
        <v>2.15</v>
      </c>
      <c r="X386">
        <v>3.35</v>
      </c>
      <c r="Y386">
        <v>3.5</v>
      </c>
      <c r="Z386">
        <v>2.17</v>
      </c>
      <c r="AA386">
        <v>3.41</v>
      </c>
      <c r="AB386">
        <v>3.71</v>
      </c>
      <c r="AC386">
        <v>2.1</v>
      </c>
      <c r="AD386">
        <v>3.4</v>
      </c>
      <c r="AE386">
        <v>3.5</v>
      </c>
      <c r="AF386">
        <v>2.1</v>
      </c>
      <c r="AG386">
        <v>3.25</v>
      </c>
      <c r="AH386">
        <v>3.5</v>
      </c>
      <c r="AI386">
        <v>2.2200000000000002</v>
      </c>
      <c r="AJ386">
        <v>3.56</v>
      </c>
      <c r="AK386">
        <v>3.76</v>
      </c>
      <c r="AL386">
        <v>2.14</v>
      </c>
      <c r="AM386">
        <v>3.38</v>
      </c>
      <c r="AN386">
        <v>3.59</v>
      </c>
      <c r="AO386">
        <v>1</v>
      </c>
      <c r="AP386">
        <v>0.45166689161830198</v>
      </c>
      <c r="AQ386">
        <v>0.28165744364961498</v>
      </c>
      <c r="AR386">
        <v>0.26667566473208199</v>
      </c>
      <c r="AS386">
        <v>1</v>
      </c>
      <c r="AT386">
        <v>2.7004993926307199E-3</v>
      </c>
      <c r="AU386">
        <v>2.5934996897994398</v>
      </c>
      <c r="AV386">
        <f t="shared" si="30"/>
        <v>17704741527327.715</v>
      </c>
      <c r="AW386">
        <f t="shared" si="31"/>
        <v>7996645572553.5781</v>
      </c>
      <c r="AX386">
        <f t="shared" si="32"/>
        <v>4986672239064.3115</v>
      </c>
      <c r="AY386">
        <f t="shared" si="33"/>
        <v>4721423715709.8262</v>
      </c>
      <c r="AZ386" cm="1">
        <f t="array" ref="AZ386">_xlfn.IFS(E386="H",AW386*AI386-AV386,E386="D",AX386*AJ386-AV386,E386="A",AY386*AK386-AV386)</f>
        <v>47811643741.234375</v>
      </c>
      <c r="BA386">
        <f t="shared" si="34"/>
        <v>1527438131899.1887</v>
      </c>
    </row>
    <row r="387" spans="1:53" x14ac:dyDescent="0.2">
      <c r="A387">
        <v>17</v>
      </c>
      <c r="B387" t="s">
        <v>202</v>
      </c>
      <c r="C387" s="1">
        <v>44545</v>
      </c>
      <c r="D387" t="s">
        <v>151</v>
      </c>
      <c r="E387" t="s">
        <v>49</v>
      </c>
      <c r="F387" t="s">
        <v>178</v>
      </c>
      <c r="G387" t="s">
        <v>126</v>
      </c>
      <c r="H387">
        <v>59777</v>
      </c>
      <c r="I387" t="s">
        <v>419</v>
      </c>
      <c r="J387" t="s">
        <v>129</v>
      </c>
      <c r="K387" t="s">
        <v>54</v>
      </c>
      <c r="L387">
        <v>2021</v>
      </c>
      <c r="M387">
        <v>3</v>
      </c>
      <c r="N387">
        <v>2.25</v>
      </c>
      <c r="O387">
        <v>1</v>
      </c>
      <c r="P387">
        <v>1.25</v>
      </c>
      <c r="Q387">
        <v>2.1</v>
      </c>
      <c r="R387">
        <v>3.6</v>
      </c>
      <c r="S387">
        <v>3.3</v>
      </c>
      <c r="T387">
        <v>2.15</v>
      </c>
      <c r="U387">
        <v>3.6</v>
      </c>
      <c r="V387">
        <v>3.2</v>
      </c>
      <c r="W387">
        <v>2.25</v>
      </c>
      <c r="X387">
        <v>3.5</v>
      </c>
      <c r="Y387">
        <v>3.15</v>
      </c>
      <c r="Z387">
        <v>2.27</v>
      </c>
      <c r="AA387">
        <v>3.58</v>
      </c>
      <c r="AB387">
        <v>3.32</v>
      </c>
      <c r="AC387">
        <v>2.15</v>
      </c>
      <c r="AD387">
        <v>3.5</v>
      </c>
      <c r="AE387">
        <v>3.25</v>
      </c>
      <c r="AF387">
        <v>2.15</v>
      </c>
      <c r="AG387">
        <v>3.4</v>
      </c>
      <c r="AH387">
        <v>3.2</v>
      </c>
      <c r="AI387">
        <v>2.2799999999999998</v>
      </c>
      <c r="AJ387">
        <v>3.78</v>
      </c>
      <c r="AK387">
        <v>3.44</v>
      </c>
      <c r="AL387">
        <v>2.2000000000000002</v>
      </c>
      <c r="AM387">
        <v>3.58</v>
      </c>
      <c r="AN387">
        <v>3.26</v>
      </c>
      <c r="AO387">
        <v>1</v>
      </c>
      <c r="AP387">
        <v>0.441313024354484</v>
      </c>
      <c r="AQ387">
        <v>0.266188808340799</v>
      </c>
      <c r="AR387">
        <v>0.29249816730471601</v>
      </c>
      <c r="AS387">
        <v>1</v>
      </c>
      <c r="AT387">
        <v>6.1936955282233504E-3</v>
      </c>
      <c r="AU387">
        <v>2.5996933853276598</v>
      </c>
      <c r="AV387">
        <f t="shared" si="30"/>
        <v>19232179659226.902</v>
      </c>
      <c r="AW387">
        <f t="shared" si="31"/>
        <v>8487411370342.2139</v>
      </c>
      <c r="AX387">
        <f t="shared" si="32"/>
        <v>5119390985285.7803</v>
      </c>
      <c r="AY387">
        <f t="shared" si="33"/>
        <v>5625377303598.9082</v>
      </c>
      <c r="AZ387" cm="1">
        <f t="array" ref="AZ387">_xlfn.IFS(E387="H",AW387*AI387-AV387,E387="D",AX387*AJ387-AV387,E387="A",AY387*AK387-AV387)</f>
        <v>119118265153.34375</v>
      </c>
      <c r="BA387">
        <f t="shared" si="34"/>
        <v>1646556397052.5325</v>
      </c>
    </row>
    <row r="388" spans="1:53" x14ac:dyDescent="0.2">
      <c r="A388">
        <v>17</v>
      </c>
      <c r="B388" t="s">
        <v>55</v>
      </c>
      <c r="C388" s="1">
        <v>44548</v>
      </c>
      <c r="D388" t="s">
        <v>73</v>
      </c>
      <c r="E388" t="s">
        <v>57</v>
      </c>
      <c r="F388" t="s">
        <v>138</v>
      </c>
      <c r="G388" t="s">
        <v>76</v>
      </c>
      <c r="H388">
        <v>750</v>
      </c>
      <c r="I388" t="s">
        <v>139</v>
      </c>
      <c r="J388" t="s">
        <v>374</v>
      </c>
      <c r="K388" t="s">
        <v>54</v>
      </c>
      <c r="L388">
        <v>2021</v>
      </c>
      <c r="M388">
        <v>3</v>
      </c>
      <c r="N388">
        <v>3</v>
      </c>
      <c r="O388">
        <v>0.25</v>
      </c>
      <c r="P388">
        <v>0.75</v>
      </c>
      <c r="Q388">
        <v>1.95</v>
      </c>
      <c r="R388">
        <v>3.8</v>
      </c>
      <c r="S388">
        <v>3.5</v>
      </c>
      <c r="T388">
        <v>2.0499999999999998</v>
      </c>
      <c r="U388">
        <v>3.8</v>
      </c>
      <c r="V388">
        <v>3.2</v>
      </c>
      <c r="W388">
        <v>2.1</v>
      </c>
      <c r="X388">
        <v>3.65</v>
      </c>
      <c r="Y388">
        <v>3.3</v>
      </c>
      <c r="Z388">
        <v>2.0499999999999998</v>
      </c>
      <c r="AA388">
        <v>4.08</v>
      </c>
      <c r="AB388">
        <v>3.46</v>
      </c>
      <c r="AC388">
        <v>2.0499999999999998</v>
      </c>
      <c r="AD388">
        <v>3.8</v>
      </c>
      <c r="AE388">
        <v>3.3</v>
      </c>
      <c r="AF388">
        <v>2</v>
      </c>
      <c r="AG388">
        <v>4</v>
      </c>
      <c r="AH388">
        <v>3.2</v>
      </c>
      <c r="AI388">
        <v>2.1</v>
      </c>
      <c r="AJ388">
        <v>4.2</v>
      </c>
      <c r="AK388">
        <v>3.52</v>
      </c>
      <c r="AL388">
        <v>2.04</v>
      </c>
      <c r="AM388">
        <v>3.97</v>
      </c>
      <c r="AN388">
        <v>3.31</v>
      </c>
      <c r="AO388">
        <v>1</v>
      </c>
      <c r="AP388">
        <v>0.47696476964769602</v>
      </c>
      <c r="AQ388">
        <v>0.23848238482384801</v>
      </c>
      <c r="AR388">
        <v>0.284552845528455</v>
      </c>
      <c r="AS388">
        <v>1</v>
      </c>
      <c r="AT388">
        <v>1.6260162601626699E-3</v>
      </c>
      <c r="AU388">
        <v>2.6013194015878298</v>
      </c>
      <c r="AV388">
        <f t="shared" si="30"/>
        <v>20878736056279.434</v>
      </c>
      <c r="AW388">
        <f t="shared" si="31"/>
        <v>9958421533618.375</v>
      </c>
      <c r="AX388">
        <f t="shared" si="32"/>
        <v>4979210766809.1875</v>
      </c>
      <c r="AY388">
        <f t="shared" si="33"/>
        <v>5941103755851.8711</v>
      </c>
      <c r="AZ388" cm="1">
        <f t="array" ref="AZ388">_xlfn.IFS(E388="H",AW388*AI388-AV388,E388="D",AX388*AJ388-AV388,E388="A",AY388*AK388-AV388)</f>
        <v>33949164319.15625</v>
      </c>
      <c r="BA388">
        <f t="shared" si="34"/>
        <v>1680505561371.6887</v>
      </c>
    </row>
    <row r="389" spans="1:53" x14ac:dyDescent="0.2">
      <c r="A389">
        <v>18</v>
      </c>
      <c r="B389" t="s">
        <v>55</v>
      </c>
      <c r="C389" s="1">
        <v>44548</v>
      </c>
      <c r="D389" t="s">
        <v>378</v>
      </c>
      <c r="E389" t="s">
        <v>74</v>
      </c>
      <c r="F389" t="s">
        <v>158</v>
      </c>
      <c r="G389" t="s">
        <v>294</v>
      </c>
      <c r="H389">
        <v>29679</v>
      </c>
      <c r="I389" t="s">
        <v>266</v>
      </c>
      <c r="J389" t="s">
        <v>356</v>
      </c>
      <c r="K389" t="s">
        <v>54</v>
      </c>
      <c r="L389">
        <v>2021</v>
      </c>
      <c r="M389">
        <v>1.25</v>
      </c>
      <c r="N389">
        <v>0.5</v>
      </c>
      <c r="O389">
        <v>0.25</v>
      </c>
      <c r="P389">
        <v>0.5</v>
      </c>
      <c r="Q389">
        <v>2.15</v>
      </c>
      <c r="R389">
        <v>3.3</v>
      </c>
      <c r="S389">
        <v>3.5</v>
      </c>
      <c r="T389">
        <v>2.2000000000000002</v>
      </c>
      <c r="U389">
        <v>3.2</v>
      </c>
      <c r="V389">
        <v>3.5</v>
      </c>
      <c r="W389">
        <v>2.2000000000000002</v>
      </c>
      <c r="X389">
        <v>3.3</v>
      </c>
      <c r="Y389">
        <v>3.4</v>
      </c>
      <c r="Z389">
        <v>2.31</v>
      </c>
      <c r="AA389">
        <v>3.24</v>
      </c>
      <c r="AB389">
        <v>3.57</v>
      </c>
      <c r="AC389">
        <v>2.15</v>
      </c>
      <c r="AD389">
        <v>3.3</v>
      </c>
      <c r="AE389">
        <v>3.5</v>
      </c>
      <c r="AF389">
        <v>2.2000000000000002</v>
      </c>
      <c r="AG389">
        <v>3.2</v>
      </c>
      <c r="AH389">
        <v>3.25</v>
      </c>
      <c r="AI389">
        <v>2.34</v>
      </c>
      <c r="AJ389">
        <v>3.45</v>
      </c>
      <c r="AK389">
        <v>3.68</v>
      </c>
      <c r="AL389">
        <v>2.23</v>
      </c>
      <c r="AM389">
        <v>3.27</v>
      </c>
      <c r="AN389">
        <v>3.47</v>
      </c>
      <c r="AO389">
        <v>1</v>
      </c>
      <c r="AP389">
        <v>0.432127759511507</v>
      </c>
      <c r="AQ389">
        <v>0.293095349929544</v>
      </c>
      <c r="AR389">
        <v>0.274776890558947</v>
      </c>
      <c r="AS389">
        <v>1</v>
      </c>
      <c r="AT389">
        <v>1.1178957256927999E-2</v>
      </c>
      <c r="AU389">
        <v>2.6124983588447601</v>
      </c>
      <c r="AV389">
        <f t="shared" si="30"/>
        <v>22559241617651.121</v>
      </c>
      <c r="AW389">
        <f t="shared" si="31"/>
        <v>9748474536514.3418</v>
      </c>
      <c r="AX389">
        <f t="shared" si="32"/>
        <v>6612008816070.5957</v>
      </c>
      <c r="AY389">
        <f t="shared" si="33"/>
        <v>6198758265066.1836</v>
      </c>
      <c r="AZ389" cm="1">
        <f t="array" ref="AZ389">_xlfn.IFS(E389="H",AW389*AI389-AV389,E389="D",AX389*AJ389-AV389,E389="A",AY389*AK389-AV389)</f>
        <v>252188797792.43359</v>
      </c>
      <c r="BA389">
        <f t="shared" si="34"/>
        <v>1932694359164.1223</v>
      </c>
    </row>
    <row r="390" spans="1:53" x14ac:dyDescent="0.2">
      <c r="A390">
        <v>17</v>
      </c>
      <c r="B390" t="s">
        <v>67</v>
      </c>
      <c r="C390" s="1">
        <v>44549</v>
      </c>
      <c r="D390" t="s">
        <v>56</v>
      </c>
      <c r="E390" t="s">
        <v>49</v>
      </c>
      <c r="F390" t="s">
        <v>223</v>
      </c>
      <c r="G390" t="s">
        <v>364</v>
      </c>
      <c r="H390">
        <v>15000</v>
      </c>
      <c r="I390" t="s">
        <v>224</v>
      </c>
      <c r="J390" t="s">
        <v>257</v>
      </c>
      <c r="K390" t="s">
        <v>54</v>
      </c>
      <c r="L390">
        <v>2021</v>
      </c>
      <c r="M390">
        <v>1.25</v>
      </c>
      <c r="N390">
        <v>2</v>
      </c>
      <c r="O390">
        <v>1</v>
      </c>
      <c r="P390">
        <v>1.25</v>
      </c>
      <c r="Q390">
        <v>1.9</v>
      </c>
      <c r="R390">
        <v>3.9</v>
      </c>
      <c r="S390">
        <v>3.6</v>
      </c>
      <c r="T390">
        <v>1.9</v>
      </c>
      <c r="U390">
        <v>3.7</v>
      </c>
      <c r="V390">
        <v>3.8</v>
      </c>
      <c r="W390">
        <v>1.97</v>
      </c>
      <c r="X390">
        <v>3.85</v>
      </c>
      <c r="Y390">
        <v>3.55</v>
      </c>
      <c r="Z390">
        <v>1.97</v>
      </c>
      <c r="AA390">
        <v>4.09</v>
      </c>
      <c r="AB390">
        <v>3.69</v>
      </c>
      <c r="AC390">
        <v>2</v>
      </c>
      <c r="AD390">
        <v>3.7</v>
      </c>
      <c r="AE390">
        <v>3.4</v>
      </c>
      <c r="AF390">
        <v>1.95</v>
      </c>
      <c r="AG390">
        <v>3.8</v>
      </c>
      <c r="AH390">
        <v>3.5</v>
      </c>
      <c r="AI390">
        <v>2.0499999999999998</v>
      </c>
      <c r="AJ390">
        <v>4.0999999999999996</v>
      </c>
      <c r="AK390">
        <v>3.8</v>
      </c>
      <c r="AL390">
        <v>1.97</v>
      </c>
      <c r="AM390">
        <v>3.88</v>
      </c>
      <c r="AN390">
        <v>3.57</v>
      </c>
      <c r="AO390">
        <v>1</v>
      </c>
      <c r="AP390">
        <v>0.49032258064516099</v>
      </c>
      <c r="AQ390">
        <v>0.24516129032257999</v>
      </c>
      <c r="AR390">
        <v>0.26451612903225802</v>
      </c>
      <c r="AS390">
        <v>0.999999999999999</v>
      </c>
      <c r="AT390">
        <v>5.1612903225803902E-3</v>
      </c>
      <c r="AU390">
        <v>2.6176596491673401</v>
      </c>
      <c r="AV390">
        <f t="shared" si="30"/>
        <v>24491935976815.242</v>
      </c>
      <c r="AW390">
        <f t="shared" si="31"/>
        <v>12008949253148.117</v>
      </c>
      <c r="AX390">
        <f t="shared" si="32"/>
        <v>6004474626574.0586</v>
      </c>
      <c r="AY390">
        <f t="shared" si="33"/>
        <v>6478512097093.0645</v>
      </c>
      <c r="AZ390" cm="1">
        <f t="array" ref="AZ390">_xlfn.IFS(E390="H",AW390*AI390-AV390,E390="D",AX390*AJ390-AV390,E390="A",AY390*AK390-AV390)</f>
        <v>126409992138.39453</v>
      </c>
      <c r="BA390">
        <f t="shared" si="34"/>
        <v>2059104351302.5168</v>
      </c>
    </row>
    <row r="391" spans="1:53" x14ac:dyDescent="0.2">
      <c r="A391">
        <v>18</v>
      </c>
      <c r="B391" t="s">
        <v>67</v>
      </c>
      <c r="C391" s="1">
        <v>44549</v>
      </c>
      <c r="D391" t="s">
        <v>107</v>
      </c>
      <c r="E391" t="s">
        <v>57</v>
      </c>
      <c r="F391" t="s">
        <v>278</v>
      </c>
      <c r="G391" t="s">
        <v>440</v>
      </c>
      <c r="H391">
        <v>5735</v>
      </c>
      <c r="I391" t="s">
        <v>275</v>
      </c>
      <c r="J391" t="s">
        <v>390</v>
      </c>
      <c r="K391" t="s">
        <v>54</v>
      </c>
      <c r="L391">
        <v>2021</v>
      </c>
      <c r="M391">
        <v>0.75</v>
      </c>
      <c r="N391">
        <v>1.5</v>
      </c>
      <c r="O391">
        <v>1</v>
      </c>
      <c r="P391">
        <v>0.5</v>
      </c>
      <c r="Q391">
        <v>1.8</v>
      </c>
      <c r="R391">
        <v>3.8</v>
      </c>
      <c r="S391">
        <v>4.33</v>
      </c>
      <c r="T391">
        <v>1.77</v>
      </c>
      <c r="U391">
        <v>3.75</v>
      </c>
      <c r="V391">
        <v>4.5</v>
      </c>
      <c r="W391">
        <v>1.77</v>
      </c>
      <c r="X391">
        <v>3.85</v>
      </c>
      <c r="Y391">
        <v>4.3</v>
      </c>
      <c r="Z391">
        <v>1.8</v>
      </c>
      <c r="AA391">
        <v>3.74</v>
      </c>
      <c r="AB391">
        <v>4.9400000000000004</v>
      </c>
      <c r="AC391">
        <v>1.78</v>
      </c>
      <c r="AD391">
        <v>3.6</v>
      </c>
      <c r="AE391">
        <v>4.5</v>
      </c>
      <c r="AF391">
        <v>1.75</v>
      </c>
      <c r="AG391">
        <v>3.6</v>
      </c>
      <c r="AH391">
        <v>4.75</v>
      </c>
      <c r="AI391">
        <v>1.85</v>
      </c>
      <c r="AJ391">
        <v>3.92</v>
      </c>
      <c r="AK391">
        <v>4.9400000000000004</v>
      </c>
      <c r="AL391">
        <v>1.79</v>
      </c>
      <c r="AM391">
        <v>3.76</v>
      </c>
      <c r="AN391">
        <v>4.55</v>
      </c>
      <c r="AO391">
        <v>1</v>
      </c>
      <c r="AP391">
        <v>0.54158486175669396</v>
      </c>
      <c r="AQ391">
        <v>0.25559489649231698</v>
      </c>
      <c r="AR391">
        <v>0.20282024175098801</v>
      </c>
      <c r="AS391">
        <v>1</v>
      </c>
      <c r="AT391">
        <v>1.9319942498841E-3</v>
      </c>
      <c r="AU391">
        <v>2.6195916434172202</v>
      </c>
      <c r="AV391">
        <f t="shared" si="30"/>
        <v>26551040328117.758</v>
      </c>
      <c r="AW391">
        <f t="shared" si="31"/>
        <v>14379641505600.062</v>
      </c>
      <c r="AX391">
        <f t="shared" si="32"/>
        <v>6786310404428.6025</v>
      </c>
      <c r="AY391">
        <f t="shared" si="33"/>
        <v>5385088418089.0918</v>
      </c>
      <c r="AZ391" cm="1">
        <f t="array" ref="AZ391">_xlfn.IFS(E391="H",AW391*AI391-AV391,E391="D",AX391*AJ391-AV391,E391="A",AY391*AK391-AV391)</f>
        <v>51296457242.363281</v>
      </c>
      <c r="BA391">
        <f t="shared" si="34"/>
        <v>2110400808544.8801</v>
      </c>
    </row>
    <row r="392" spans="1:53" x14ac:dyDescent="0.2">
      <c r="A392">
        <v>18</v>
      </c>
      <c r="B392" t="s">
        <v>67</v>
      </c>
      <c r="C392" s="1">
        <v>44549</v>
      </c>
      <c r="D392" t="s">
        <v>296</v>
      </c>
      <c r="E392" t="s">
        <v>74</v>
      </c>
      <c r="F392" t="s">
        <v>248</v>
      </c>
      <c r="G392" t="s">
        <v>101</v>
      </c>
      <c r="H392">
        <v>52127</v>
      </c>
      <c r="I392" t="s">
        <v>250</v>
      </c>
      <c r="J392" t="s">
        <v>233</v>
      </c>
      <c r="K392" t="s">
        <v>54</v>
      </c>
      <c r="L392">
        <v>2021</v>
      </c>
      <c r="M392">
        <v>1.25</v>
      </c>
      <c r="N392">
        <v>1.25</v>
      </c>
      <c r="O392">
        <v>3</v>
      </c>
      <c r="P392">
        <v>2.75</v>
      </c>
      <c r="Q392">
        <v>13</v>
      </c>
      <c r="R392">
        <v>7.5</v>
      </c>
      <c r="S392">
        <v>1.18</v>
      </c>
      <c r="T392">
        <v>13.5</v>
      </c>
      <c r="U392">
        <v>7.5</v>
      </c>
      <c r="V392">
        <v>1.19</v>
      </c>
      <c r="W392">
        <v>16</v>
      </c>
      <c r="X392">
        <v>7.5</v>
      </c>
      <c r="Y392">
        <v>1.17</v>
      </c>
      <c r="Z392">
        <v>16.21</v>
      </c>
      <c r="AA392">
        <v>7.42</v>
      </c>
      <c r="AB392">
        <v>1.18</v>
      </c>
      <c r="AC392">
        <v>17</v>
      </c>
      <c r="AD392">
        <v>7</v>
      </c>
      <c r="AE392">
        <v>1.17</v>
      </c>
      <c r="AF392">
        <v>17</v>
      </c>
      <c r="AG392">
        <v>7.5</v>
      </c>
      <c r="AH392">
        <v>1.1399999999999999</v>
      </c>
      <c r="AI392">
        <v>20</v>
      </c>
      <c r="AJ392">
        <v>8.3000000000000007</v>
      </c>
      <c r="AK392">
        <v>1.21</v>
      </c>
      <c r="AL392">
        <v>16.25</v>
      </c>
      <c r="AM392">
        <v>7.72</v>
      </c>
      <c r="AN392">
        <v>1.18</v>
      </c>
      <c r="AO392">
        <v>1</v>
      </c>
      <c r="AP392">
        <v>5.0154062813681302E-2</v>
      </c>
      <c r="AQ392">
        <v>0.120853163406461</v>
      </c>
      <c r="AR392">
        <v>0.82899277377985703</v>
      </c>
      <c r="AS392">
        <v>1</v>
      </c>
      <c r="AT392">
        <v>3.08125627362754E-3</v>
      </c>
      <c r="AU392">
        <v>2.6226728996908499</v>
      </c>
      <c r="AV392">
        <f t="shared" si="30"/>
        <v>28661441136662.637</v>
      </c>
      <c r="AW392">
        <f t="shared" si="31"/>
        <v>1437487719098.8093</v>
      </c>
      <c r="AX392">
        <f t="shared" si="32"/>
        <v>3463825829153.7563</v>
      </c>
      <c r="AY392">
        <f t="shared" si="33"/>
        <v>23760127588410.07</v>
      </c>
      <c r="AZ392" cm="1">
        <f t="array" ref="AZ392">_xlfn.IFS(E392="H",AW392*AI392-AV392,E392="D",AX392*AJ392-AV392,E392="A",AY392*AK392-AV392)</f>
        <v>88313245313.546875</v>
      </c>
      <c r="BA392">
        <f t="shared" si="34"/>
        <v>2198714053858.427</v>
      </c>
    </row>
    <row r="393" spans="1:53" x14ac:dyDescent="0.2">
      <c r="A393">
        <v>18</v>
      </c>
      <c r="B393" t="s">
        <v>67</v>
      </c>
      <c r="C393" s="1">
        <v>44549</v>
      </c>
      <c r="D393" t="s">
        <v>396</v>
      </c>
      <c r="E393" t="s">
        <v>49</v>
      </c>
      <c r="F393" t="s">
        <v>287</v>
      </c>
      <c r="G393" t="s">
        <v>263</v>
      </c>
      <c r="H393">
        <v>13014</v>
      </c>
      <c r="I393" t="s">
        <v>312</v>
      </c>
      <c r="J393" t="s">
        <v>430</v>
      </c>
      <c r="K393" t="s">
        <v>54</v>
      </c>
      <c r="L393">
        <v>2021</v>
      </c>
      <c r="M393">
        <v>1.75</v>
      </c>
      <c r="N393">
        <v>1.25</v>
      </c>
      <c r="O393">
        <v>1.25</v>
      </c>
      <c r="P393">
        <v>1.5</v>
      </c>
      <c r="Q393">
        <v>2.5</v>
      </c>
      <c r="R393">
        <v>3</v>
      </c>
      <c r="S393">
        <v>3.1</v>
      </c>
      <c r="T393">
        <v>2.4500000000000002</v>
      </c>
      <c r="U393">
        <v>3.1</v>
      </c>
      <c r="V393">
        <v>3</v>
      </c>
      <c r="W393">
        <v>2.5</v>
      </c>
      <c r="X393">
        <v>3.1</v>
      </c>
      <c r="Y393">
        <v>3.05</v>
      </c>
      <c r="Z393">
        <v>2.57</v>
      </c>
      <c r="AA393">
        <v>3.04</v>
      </c>
      <c r="AB393">
        <v>3.3</v>
      </c>
      <c r="AC393">
        <v>2.4500000000000002</v>
      </c>
      <c r="AD393">
        <v>3</v>
      </c>
      <c r="AE393">
        <v>3.1</v>
      </c>
      <c r="AF393">
        <v>2.4500000000000002</v>
      </c>
      <c r="AG393">
        <v>3.1</v>
      </c>
      <c r="AH393">
        <v>2.9</v>
      </c>
      <c r="AI393">
        <v>2.61</v>
      </c>
      <c r="AJ393">
        <v>3.2</v>
      </c>
      <c r="AK393">
        <v>3.31</v>
      </c>
      <c r="AL393">
        <v>2.5099999999999998</v>
      </c>
      <c r="AM393">
        <v>3.09</v>
      </c>
      <c r="AN393">
        <v>3.1</v>
      </c>
      <c r="AO393">
        <v>1</v>
      </c>
      <c r="AP393">
        <v>0.38400324836584698</v>
      </c>
      <c r="AQ393">
        <v>0.31320264944839399</v>
      </c>
      <c r="AR393">
        <v>0.30279410218575797</v>
      </c>
      <c r="AS393">
        <v>0.999999999999999</v>
      </c>
      <c r="AT393">
        <v>2.2484782348610702E-3</v>
      </c>
      <c r="AU393">
        <v>2.6249213779257099</v>
      </c>
      <c r="AV393">
        <f t="shared" si="30"/>
        <v>30860155190521.062</v>
      </c>
      <c r="AW393">
        <f t="shared" si="31"/>
        <v>11850399838234.248</v>
      </c>
      <c r="AX393">
        <f t="shared" si="32"/>
        <v>9665482368059.8086</v>
      </c>
      <c r="AY393">
        <f t="shared" si="33"/>
        <v>9344272984227.0039</v>
      </c>
      <c r="AZ393" cm="1">
        <f t="array" ref="AZ393">_xlfn.IFS(E393="H",AW393*AI393-AV393,E393="D",AX393*AJ393-AV393,E393="A",AY393*AK393-AV393)</f>
        <v>69388387270.324219</v>
      </c>
      <c r="BA393">
        <f t="shared" si="34"/>
        <v>2268102441128.751</v>
      </c>
    </row>
    <row r="394" spans="1:53" x14ac:dyDescent="0.2">
      <c r="A394">
        <v>19</v>
      </c>
      <c r="B394" t="s">
        <v>130</v>
      </c>
      <c r="C394" s="1">
        <v>44551</v>
      </c>
      <c r="D394" t="s">
        <v>48</v>
      </c>
      <c r="E394" t="s">
        <v>49</v>
      </c>
      <c r="F394" t="s">
        <v>132</v>
      </c>
      <c r="G394" t="s">
        <v>141</v>
      </c>
      <c r="H394">
        <v>11197</v>
      </c>
      <c r="I394" t="s">
        <v>321</v>
      </c>
      <c r="J394" t="s">
        <v>423</v>
      </c>
      <c r="K394" t="s">
        <v>54</v>
      </c>
      <c r="L394">
        <v>2021</v>
      </c>
      <c r="M394">
        <v>1.5</v>
      </c>
      <c r="N394">
        <v>1</v>
      </c>
      <c r="O394">
        <v>0.5</v>
      </c>
      <c r="P394">
        <v>0.5</v>
      </c>
      <c r="Q394">
        <v>1.18</v>
      </c>
      <c r="R394">
        <v>6.5</v>
      </c>
      <c r="S394">
        <v>17</v>
      </c>
      <c r="T394">
        <v>1.22</v>
      </c>
      <c r="U394">
        <v>6</v>
      </c>
      <c r="V394">
        <v>16</v>
      </c>
      <c r="W394">
        <v>1.2</v>
      </c>
      <c r="X394">
        <v>6.5</v>
      </c>
      <c r="Y394">
        <v>16</v>
      </c>
      <c r="Z394">
        <v>1.19</v>
      </c>
      <c r="AA394">
        <v>7</v>
      </c>
      <c r="AB394">
        <v>20</v>
      </c>
      <c r="AC394">
        <v>1.18</v>
      </c>
      <c r="AD394">
        <v>6.5</v>
      </c>
      <c r="AE394">
        <v>17</v>
      </c>
      <c r="AF394">
        <v>1.17</v>
      </c>
      <c r="AG394">
        <v>7</v>
      </c>
      <c r="AH394">
        <v>20</v>
      </c>
      <c r="AI394">
        <v>1.23</v>
      </c>
      <c r="AJ394">
        <v>7.25</v>
      </c>
      <c r="AK394">
        <v>21</v>
      </c>
      <c r="AL394">
        <v>1.2</v>
      </c>
      <c r="AM394">
        <v>6.61</v>
      </c>
      <c r="AN394">
        <v>17.100000000000001</v>
      </c>
      <c r="AO394">
        <v>1</v>
      </c>
      <c r="AP394">
        <v>0.81418200778085204</v>
      </c>
      <c r="AQ394">
        <v>0.13813018890626799</v>
      </c>
      <c r="AR394">
        <v>4.7687803312878502E-2</v>
      </c>
      <c r="AS394">
        <v>1</v>
      </c>
      <c r="AT394">
        <v>1.44386957044884E-3</v>
      </c>
      <c r="AU394">
        <v>2.6263652474961598</v>
      </c>
      <c r="AV394">
        <f t="shared" ref="AV394:AV457" si="35">AV393+BA393</f>
        <v>33128257631649.812</v>
      </c>
      <c r="AW394">
        <f t="shared" ref="AW394:AW457" si="36">AV394/(1+AI394/AJ394+AI394/AK394)</f>
        <v>26972431312818</v>
      </c>
      <c r="AX394">
        <f t="shared" ref="AX394:AX457" si="37">AV394/(1+AJ394/AI394+AJ394/AK394)</f>
        <v>4576012484795.3301</v>
      </c>
      <c r="AY394">
        <f t="shared" ref="AY394:AY457" si="38">AV394/(1+AK394/AI394+AK394/AJ394)</f>
        <v>1579813834036.4827</v>
      </c>
      <c r="AZ394" cm="1">
        <f t="array" ref="AZ394">_xlfn.IFS(E394="H",AW394*AI394-AV394,E394="D",AX394*AJ394-AV394,E394="A",AY394*AK394-AV394)</f>
        <v>47832883116.328125</v>
      </c>
      <c r="BA394">
        <f t="shared" ref="BA394:BA457" si="39">AZ394+BA393</f>
        <v>2315935324245.0791</v>
      </c>
    </row>
    <row r="395" spans="1:53" x14ac:dyDescent="0.2">
      <c r="A395">
        <v>19</v>
      </c>
      <c r="B395" t="s">
        <v>202</v>
      </c>
      <c r="C395" s="1">
        <v>44552</v>
      </c>
      <c r="D395" t="s">
        <v>190</v>
      </c>
      <c r="E395" t="s">
        <v>49</v>
      </c>
      <c r="F395" t="s">
        <v>318</v>
      </c>
      <c r="G395" t="s">
        <v>375</v>
      </c>
      <c r="H395">
        <v>41413</v>
      </c>
      <c r="I395" t="s">
        <v>244</v>
      </c>
      <c r="J395" t="s">
        <v>413</v>
      </c>
      <c r="K395" t="s">
        <v>54</v>
      </c>
      <c r="L395">
        <v>2021</v>
      </c>
      <c r="M395">
        <v>3</v>
      </c>
      <c r="N395">
        <v>2.75</v>
      </c>
      <c r="O395">
        <v>0.25</v>
      </c>
      <c r="P395">
        <v>0.25</v>
      </c>
      <c r="Q395">
        <v>1.3</v>
      </c>
      <c r="R395">
        <v>5.5</v>
      </c>
      <c r="S395">
        <v>10</v>
      </c>
      <c r="T395">
        <v>1.3</v>
      </c>
      <c r="U395">
        <v>5.5</v>
      </c>
      <c r="V395">
        <v>10</v>
      </c>
      <c r="W395">
        <v>1.33</v>
      </c>
      <c r="X395">
        <v>5</v>
      </c>
      <c r="Y395">
        <v>10</v>
      </c>
      <c r="Z395">
        <v>1.34</v>
      </c>
      <c r="AA395">
        <v>5.64</v>
      </c>
      <c r="AB395">
        <v>9.7100000000000009</v>
      </c>
      <c r="AC395">
        <v>1.3</v>
      </c>
      <c r="AD395">
        <v>5.25</v>
      </c>
      <c r="AE395">
        <v>10</v>
      </c>
      <c r="AF395">
        <v>1.29</v>
      </c>
      <c r="AG395">
        <v>5.25</v>
      </c>
      <c r="AH395">
        <v>11</v>
      </c>
      <c r="AI395">
        <v>1.38</v>
      </c>
      <c r="AJ395">
        <v>5.8</v>
      </c>
      <c r="AK395">
        <v>11</v>
      </c>
      <c r="AL395">
        <v>1.33</v>
      </c>
      <c r="AM395">
        <v>5.41</v>
      </c>
      <c r="AN395">
        <v>9.5</v>
      </c>
      <c r="AO395">
        <v>1</v>
      </c>
      <c r="AP395">
        <v>0.73346822404120304</v>
      </c>
      <c r="AQ395">
        <v>0.17451485330635499</v>
      </c>
      <c r="AR395">
        <v>9.2016922652441796E-2</v>
      </c>
      <c r="AS395">
        <v>1</v>
      </c>
      <c r="AT395">
        <v>1.21861491768602E-2</v>
      </c>
      <c r="AU395">
        <v>2.6385513966730199</v>
      </c>
      <c r="AV395">
        <f t="shared" si="35"/>
        <v>35444192955894.891</v>
      </c>
      <c r="AW395">
        <f t="shared" si="36"/>
        <v>25997189259933.941</v>
      </c>
      <c r="AX395">
        <f t="shared" si="37"/>
        <v>6185538134260.1445</v>
      </c>
      <c r="AY395">
        <f t="shared" si="38"/>
        <v>3261465561700.8032</v>
      </c>
      <c r="AZ395" cm="1">
        <f t="array" ref="AZ395">_xlfn.IFS(E395="H",AW395*AI395-AV395,E395="D",AX395*AJ395-AV395,E395="A",AY395*AK395-AV395)</f>
        <v>431928222813.94531</v>
      </c>
      <c r="BA395">
        <f t="shared" si="39"/>
        <v>2747863547059.0244</v>
      </c>
    </row>
    <row r="396" spans="1:53" x14ac:dyDescent="0.2">
      <c r="A396">
        <v>20</v>
      </c>
      <c r="B396" t="s">
        <v>130</v>
      </c>
      <c r="C396" s="1">
        <v>44558</v>
      </c>
      <c r="D396" t="s">
        <v>90</v>
      </c>
      <c r="E396" t="s">
        <v>49</v>
      </c>
      <c r="F396" t="s">
        <v>281</v>
      </c>
      <c r="G396" t="s">
        <v>100</v>
      </c>
      <c r="H396">
        <v>24433</v>
      </c>
      <c r="I396" t="s">
        <v>282</v>
      </c>
      <c r="J396" t="s">
        <v>407</v>
      </c>
      <c r="K396" t="s">
        <v>54</v>
      </c>
      <c r="L396">
        <v>2021</v>
      </c>
      <c r="M396">
        <v>1.75</v>
      </c>
      <c r="N396">
        <v>2</v>
      </c>
      <c r="O396">
        <v>1</v>
      </c>
      <c r="P396">
        <v>0.75</v>
      </c>
      <c r="Q396">
        <v>1.65</v>
      </c>
      <c r="R396">
        <v>3.75</v>
      </c>
      <c r="S396">
        <v>5.5</v>
      </c>
      <c r="T396">
        <v>1.66</v>
      </c>
      <c r="U396">
        <v>3.6</v>
      </c>
      <c r="V396">
        <v>5.75</v>
      </c>
      <c r="W396">
        <v>1.67</v>
      </c>
      <c r="X396">
        <v>3.65</v>
      </c>
      <c r="Y396">
        <v>5.5</v>
      </c>
      <c r="Z396">
        <v>1.69</v>
      </c>
      <c r="AA396">
        <v>3.77</v>
      </c>
      <c r="AB396">
        <v>5.91</v>
      </c>
      <c r="AC396">
        <v>1.63</v>
      </c>
      <c r="AD396">
        <v>3.75</v>
      </c>
      <c r="AE396">
        <v>5.5</v>
      </c>
      <c r="AF396">
        <v>1.67</v>
      </c>
      <c r="AG396">
        <v>3.7</v>
      </c>
      <c r="AH396">
        <v>6</v>
      </c>
      <c r="AI396">
        <v>1.74</v>
      </c>
      <c r="AJ396">
        <v>3.92</v>
      </c>
      <c r="AK396">
        <v>6.09</v>
      </c>
      <c r="AL396">
        <v>1.68</v>
      </c>
      <c r="AM396">
        <v>3.74</v>
      </c>
      <c r="AN396">
        <v>5.68</v>
      </c>
      <c r="AO396">
        <v>1</v>
      </c>
      <c r="AP396">
        <v>0.578171091445427</v>
      </c>
      <c r="AQ396">
        <v>0.25663716814159199</v>
      </c>
      <c r="AR396">
        <v>0.16519174041297899</v>
      </c>
      <c r="AS396">
        <v>1</v>
      </c>
      <c r="AT396">
        <v>6.0176991150442298E-3</v>
      </c>
      <c r="AU396">
        <v>2.6445690957880599</v>
      </c>
      <c r="AV396">
        <f t="shared" si="35"/>
        <v>38192056502953.914</v>
      </c>
      <c r="AW396">
        <f t="shared" si="36"/>
        <v>22081542992858.312</v>
      </c>
      <c r="AX396">
        <f t="shared" si="37"/>
        <v>9801501226421.8008</v>
      </c>
      <c r="AY396">
        <f t="shared" si="38"/>
        <v>6309012283673.8027</v>
      </c>
      <c r="AZ396" cm="1">
        <f t="array" ref="AZ396">_xlfn.IFS(E396="H",AW396*AI396-AV396,E396="D",AX396*AJ396-AV396,E396="A",AY396*AK396-AV396)</f>
        <v>229828304619.54688</v>
      </c>
      <c r="BA396">
        <f t="shared" si="39"/>
        <v>2977691851678.5713</v>
      </c>
    </row>
    <row r="397" spans="1:53" x14ac:dyDescent="0.2">
      <c r="A397">
        <v>20</v>
      </c>
      <c r="B397" t="s">
        <v>229</v>
      </c>
      <c r="C397" s="1">
        <v>44560</v>
      </c>
      <c r="D397" t="s">
        <v>234</v>
      </c>
      <c r="E397" t="s">
        <v>49</v>
      </c>
      <c r="F397" t="s">
        <v>127</v>
      </c>
      <c r="G397" t="s">
        <v>249</v>
      </c>
      <c r="H397">
        <v>73121</v>
      </c>
      <c r="I397" t="s">
        <v>305</v>
      </c>
      <c r="J397" t="s">
        <v>332</v>
      </c>
      <c r="K397" t="s">
        <v>54</v>
      </c>
      <c r="L397">
        <v>2021</v>
      </c>
      <c r="M397">
        <v>1.5</v>
      </c>
      <c r="N397">
        <v>1</v>
      </c>
      <c r="O397">
        <v>0.75</v>
      </c>
      <c r="P397">
        <v>0.75</v>
      </c>
      <c r="Q397">
        <v>1.36</v>
      </c>
      <c r="R397">
        <v>5</v>
      </c>
      <c r="S397">
        <v>9</v>
      </c>
      <c r="T397">
        <v>1.36</v>
      </c>
      <c r="U397">
        <v>5</v>
      </c>
      <c r="V397">
        <v>8.5</v>
      </c>
      <c r="W397">
        <v>1.4</v>
      </c>
      <c r="X397">
        <v>4.9000000000000004</v>
      </c>
      <c r="Y397">
        <v>7.75</v>
      </c>
      <c r="Z397">
        <v>1.38</v>
      </c>
      <c r="AA397">
        <v>4.97</v>
      </c>
      <c r="AB397">
        <v>8.67</v>
      </c>
      <c r="AC397">
        <v>1.36</v>
      </c>
      <c r="AD397">
        <v>4.75</v>
      </c>
      <c r="AE397">
        <v>8.5</v>
      </c>
      <c r="AF397">
        <v>1.33</v>
      </c>
      <c r="AG397">
        <v>4.75</v>
      </c>
      <c r="AH397">
        <v>8.5</v>
      </c>
      <c r="AI397">
        <v>1.42</v>
      </c>
      <c r="AJ397">
        <v>5.25</v>
      </c>
      <c r="AK397">
        <v>9.5</v>
      </c>
      <c r="AL397">
        <v>1.38</v>
      </c>
      <c r="AM397">
        <v>4.99</v>
      </c>
      <c r="AN397">
        <v>8.5399999999999991</v>
      </c>
      <c r="AO397">
        <v>1</v>
      </c>
      <c r="AP397">
        <v>0.70425021180457503</v>
      </c>
      <c r="AQ397">
        <v>0.190482914430951</v>
      </c>
      <c r="AR397">
        <v>0.105266873764473</v>
      </c>
      <c r="AS397">
        <v>1</v>
      </c>
      <c r="AT397" s="2">
        <v>3.5300762496470698E-5</v>
      </c>
      <c r="AU397">
        <v>2.6446043965505601</v>
      </c>
      <c r="AV397">
        <f t="shared" si="35"/>
        <v>41169748354632.484</v>
      </c>
      <c r="AW397">
        <f t="shared" si="36"/>
        <v>28993803998690.98</v>
      </c>
      <c r="AX397">
        <f t="shared" si="37"/>
        <v>7842133652979.2734</v>
      </c>
      <c r="AY397">
        <f t="shared" si="38"/>
        <v>4333810702962.2305</v>
      </c>
      <c r="AZ397" cm="1">
        <f t="array" ref="AZ397">_xlfn.IFS(E397="H",AW397*AI397-AV397,E397="D",AX397*AJ397-AV397,E397="A",AY397*AK397-AV397)</f>
        <v>1453323508.703125</v>
      </c>
      <c r="BA397">
        <f t="shared" si="39"/>
        <v>2979145175187.2744</v>
      </c>
    </row>
    <row r="398" spans="1:53" x14ac:dyDescent="0.2">
      <c r="A398">
        <v>20</v>
      </c>
      <c r="B398" t="s">
        <v>55</v>
      </c>
      <c r="C398" s="1">
        <v>44583</v>
      </c>
      <c r="D398" t="s">
        <v>73</v>
      </c>
      <c r="E398" t="s">
        <v>74</v>
      </c>
      <c r="F398" t="s">
        <v>76</v>
      </c>
      <c r="G398" t="s">
        <v>255</v>
      </c>
      <c r="H398">
        <v>750</v>
      </c>
      <c r="I398" t="s">
        <v>149</v>
      </c>
      <c r="J398" t="s">
        <v>247</v>
      </c>
      <c r="K398" t="s">
        <v>54</v>
      </c>
      <c r="L398">
        <v>2022</v>
      </c>
      <c r="M398">
        <v>0</v>
      </c>
      <c r="N398">
        <v>1</v>
      </c>
      <c r="O398">
        <v>1</v>
      </c>
      <c r="P398">
        <v>2</v>
      </c>
      <c r="Q398">
        <v>2.15</v>
      </c>
      <c r="R398">
        <v>3.6</v>
      </c>
      <c r="S398">
        <v>3.2</v>
      </c>
      <c r="T398">
        <v>2.2000000000000002</v>
      </c>
      <c r="U398">
        <v>3.4</v>
      </c>
      <c r="V398">
        <v>3.2</v>
      </c>
      <c r="W398">
        <v>2.35</v>
      </c>
      <c r="X398">
        <v>3.35</v>
      </c>
      <c r="Y398">
        <v>3.05</v>
      </c>
      <c r="Z398">
        <v>2.3199999999999998</v>
      </c>
      <c r="AA398">
        <v>3.36</v>
      </c>
      <c r="AB398">
        <v>3.29</v>
      </c>
      <c r="AC398">
        <v>2.25</v>
      </c>
      <c r="AD398">
        <v>3.3</v>
      </c>
      <c r="AE398">
        <v>3.2</v>
      </c>
      <c r="AF398">
        <v>2.2000000000000002</v>
      </c>
      <c r="AG398">
        <v>3.5</v>
      </c>
      <c r="AH398">
        <v>3.13</v>
      </c>
      <c r="AI398">
        <v>2.36</v>
      </c>
      <c r="AJ398">
        <v>3.6</v>
      </c>
      <c r="AK398">
        <v>3.5</v>
      </c>
      <c r="AL398">
        <v>2.2599999999999998</v>
      </c>
      <c r="AM398">
        <v>3.42</v>
      </c>
      <c r="AN398">
        <v>3.23</v>
      </c>
      <c r="AO398">
        <v>1</v>
      </c>
      <c r="AP398">
        <v>0.42921378934459697</v>
      </c>
      <c r="AQ398">
        <v>0.28137348412590202</v>
      </c>
      <c r="AR398">
        <v>0.28941272652949901</v>
      </c>
      <c r="AS398">
        <v>1</v>
      </c>
      <c r="AT398">
        <v>1.29445428532495E-2</v>
      </c>
      <c r="AU398">
        <v>2.6575489394038101</v>
      </c>
      <c r="AV398">
        <f t="shared" si="35"/>
        <v>44148893529819.758</v>
      </c>
      <c r="AW398">
        <f t="shared" si="36"/>
        <v>18949313887305.113</v>
      </c>
      <c r="AX398">
        <f t="shared" si="37"/>
        <v>12422327992788.908</v>
      </c>
      <c r="AY398">
        <f t="shared" si="38"/>
        <v>12777251649725.734</v>
      </c>
      <c r="AZ398" cm="1">
        <f t="array" ref="AZ398">_xlfn.IFS(E398="H",AW398*AI398-AV398,E398="D",AX398*AJ398-AV398,E398="A",AY398*AK398-AV398)</f>
        <v>571487244220.3125</v>
      </c>
      <c r="BA398">
        <f t="shared" si="39"/>
        <v>3550632419407.5869</v>
      </c>
    </row>
    <row r="399" spans="1:53" x14ac:dyDescent="0.2">
      <c r="A399">
        <v>20</v>
      </c>
      <c r="B399" t="s">
        <v>55</v>
      </c>
      <c r="C399" s="1">
        <v>44583</v>
      </c>
      <c r="D399" t="s">
        <v>73</v>
      </c>
      <c r="E399" t="s">
        <v>49</v>
      </c>
      <c r="F399" t="s">
        <v>429</v>
      </c>
      <c r="G399" t="s">
        <v>75</v>
      </c>
      <c r="H399" t="s">
        <v>256</v>
      </c>
      <c r="I399" t="s">
        <v>446</v>
      </c>
      <c r="J399" t="s">
        <v>150</v>
      </c>
      <c r="K399" t="s">
        <v>54</v>
      </c>
      <c r="L399">
        <v>2022</v>
      </c>
      <c r="M399">
        <v>1</v>
      </c>
      <c r="N399">
        <v>0</v>
      </c>
      <c r="O399">
        <v>0</v>
      </c>
      <c r="P399">
        <v>1</v>
      </c>
      <c r="Q399">
        <v>5</v>
      </c>
      <c r="R399">
        <v>3.6</v>
      </c>
      <c r="S399">
        <v>1.75</v>
      </c>
      <c r="T399">
        <v>5</v>
      </c>
      <c r="U399">
        <v>3.4</v>
      </c>
      <c r="V399">
        <v>1.77</v>
      </c>
      <c r="W399">
        <v>4.5</v>
      </c>
      <c r="X399">
        <v>3.5</v>
      </c>
      <c r="Y399">
        <v>1.83</v>
      </c>
      <c r="Z399">
        <v>4.7699999999999996</v>
      </c>
      <c r="AA399">
        <v>3.58</v>
      </c>
      <c r="AB399">
        <v>1.83</v>
      </c>
      <c r="AC399">
        <v>4.75</v>
      </c>
      <c r="AD399">
        <v>3.5</v>
      </c>
      <c r="AE399">
        <v>1.78</v>
      </c>
      <c r="AF399">
        <v>4.4000000000000004</v>
      </c>
      <c r="AG399">
        <v>3.7</v>
      </c>
      <c r="AH399">
        <v>1.8</v>
      </c>
      <c r="AI399">
        <v>5.0999999999999996</v>
      </c>
      <c r="AJ399">
        <v>3.8</v>
      </c>
      <c r="AK399">
        <v>1.85</v>
      </c>
      <c r="AL399">
        <v>4.7</v>
      </c>
      <c r="AM399">
        <v>3.6</v>
      </c>
      <c r="AN399">
        <v>1.81</v>
      </c>
      <c r="AO399">
        <v>1</v>
      </c>
      <c r="AP399">
        <v>0.19612219277444501</v>
      </c>
      <c r="AQ399">
        <v>0.26321662714464999</v>
      </c>
      <c r="AR399">
        <v>0.54066118008090303</v>
      </c>
      <c r="AS399">
        <v>1</v>
      </c>
      <c r="AT399" s="2">
        <v>2.2318314967195699E-4</v>
      </c>
      <c r="AU399">
        <v>2.6577721225534798</v>
      </c>
      <c r="AV399">
        <f t="shared" si="35"/>
        <v>47699525949227.344</v>
      </c>
      <c r="AW399">
        <f t="shared" si="36"/>
        <v>9354935623464.0312</v>
      </c>
      <c r="AX399">
        <f t="shared" si="37"/>
        <v>12555308336754.359</v>
      </c>
      <c r="AY399">
        <f t="shared" si="38"/>
        <v>25789281989008.953</v>
      </c>
      <c r="AZ399" cm="1">
        <f t="array" ref="AZ399">_xlfn.IFS(E399="H",AW399*AI399-AV399,E399="D",AX399*AJ399-AV399,E399="A",AY399*AK399-AV399)</f>
        <v>10645730439.210938</v>
      </c>
      <c r="BA399">
        <f t="shared" si="39"/>
        <v>3561278149846.7979</v>
      </c>
    </row>
    <row r="400" spans="1:53" x14ac:dyDescent="0.2">
      <c r="A400">
        <v>20</v>
      </c>
      <c r="B400" t="s">
        <v>55</v>
      </c>
      <c r="C400" s="1">
        <v>44583</v>
      </c>
      <c r="D400" t="s">
        <v>190</v>
      </c>
      <c r="E400" t="s">
        <v>57</v>
      </c>
      <c r="F400" t="s">
        <v>427</v>
      </c>
      <c r="G400" t="s">
        <v>223</v>
      </c>
      <c r="H400">
        <v>750</v>
      </c>
      <c r="I400" t="s">
        <v>428</v>
      </c>
      <c r="J400" t="s">
        <v>422</v>
      </c>
      <c r="K400" t="s">
        <v>54</v>
      </c>
      <c r="L400">
        <v>2022</v>
      </c>
      <c r="M400">
        <v>3</v>
      </c>
      <c r="N400">
        <v>1</v>
      </c>
      <c r="O400">
        <v>3</v>
      </c>
      <c r="P400">
        <v>3</v>
      </c>
      <c r="Q400">
        <v>3.2</v>
      </c>
      <c r="R400">
        <v>3.4</v>
      </c>
      <c r="S400">
        <v>2.25</v>
      </c>
      <c r="T400">
        <v>3.3</v>
      </c>
      <c r="U400">
        <v>3.4</v>
      </c>
      <c r="V400">
        <v>2.15</v>
      </c>
      <c r="W400">
        <v>3.05</v>
      </c>
      <c r="X400">
        <v>3.4</v>
      </c>
      <c r="Y400">
        <v>2.35</v>
      </c>
      <c r="Z400">
        <v>3.39</v>
      </c>
      <c r="AA400">
        <v>3.33</v>
      </c>
      <c r="AB400">
        <v>2.2799999999999998</v>
      </c>
      <c r="AC400">
        <v>3.2</v>
      </c>
      <c r="AD400">
        <v>3.4</v>
      </c>
      <c r="AE400">
        <v>2.2000000000000002</v>
      </c>
      <c r="AF400">
        <v>3.1</v>
      </c>
      <c r="AG400">
        <v>3.5</v>
      </c>
      <c r="AH400">
        <v>2.2000000000000002</v>
      </c>
      <c r="AI400">
        <v>3.49</v>
      </c>
      <c r="AJ400">
        <v>3.6</v>
      </c>
      <c r="AK400">
        <v>2.35</v>
      </c>
      <c r="AL400">
        <v>3.26</v>
      </c>
      <c r="AM400">
        <v>3.44</v>
      </c>
      <c r="AN400">
        <v>2.2400000000000002</v>
      </c>
      <c r="AO400">
        <v>1</v>
      </c>
      <c r="AP400">
        <v>0.289473233990864</v>
      </c>
      <c r="AQ400">
        <v>0.28062821850781</v>
      </c>
      <c r="AR400">
        <v>0.429898547501325</v>
      </c>
      <c r="AS400">
        <v>1</v>
      </c>
      <c r="AT400">
        <v>1.0261586628115899E-2</v>
      </c>
      <c r="AU400">
        <v>2.6680337091816</v>
      </c>
      <c r="AV400">
        <f t="shared" si="35"/>
        <v>51260804099074.141</v>
      </c>
      <c r="AW400">
        <f t="shared" si="36"/>
        <v>14838630739531.137</v>
      </c>
      <c r="AX400">
        <f t="shared" si="37"/>
        <v>14385228133601.02</v>
      </c>
      <c r="AY400">
        <f t="shared" si="38"/>
        <v>22036945225941.984</v>
      </c>
      <c r="AZ400" cm="1">
        <f t="array" ref="AZ400">_xlfn.IFS(E400="H",AW400*AI400-AV400,E400="D",AX400*AJ400-AV400,E400="A",AY400*AK400-AV400)</f>
        <v>526017181889.53125</v>
      </c>
      <c r="BA400">
        <f t="shared" si="39"/>
        <v>4087295331736.3291</v>
      </c>
    </row>
    <row r="401" spans="1:53" x14ac:dyDescent="0.2">
      <c r="A401">
        <v>20</v>
      </c>
      <c r="B401" t="s">
        <v>67</v>
      </c>
      <c r="C401" s="1">
        <v>44584</v>
      </c>
      <c r="D401" t="s">
        <v>73</v>
      </c>
      <c r="E401" t="s">
        <v>49</v>
      </c>
      <c r="F401" t="s">
        <v>204</v>
      </c>
      <c r="G401" t="s">
        <v>261</v>
      </c>
      <c r="H401">
        <v>1000</v>
      </c>
      <c r="I401" t="s">
        <v>205</v>
      </c>
      <c r="J401" t="s">
        <v>335</v>
      </c>
      <c r="K401" t="s">
        <v>54</v>
      </c>
      <c r="L401">
        <v>2022</v>
      </c>
      <c r="M401">
        <v>3</v>
      </c>
      <c r="N401">
        <v>4</v>
      </c>
      <c r="O401">
        <v>0</v>
      </c>
      <c r="P401">
        <v>0</v>
      </c>
      <c r="Q401">
        <v>1.53</v>
      </c>
      <c r="R401">
        <v>4.33</v>
      </c>
      <c r="S401">
        <v>6</v>
      </c>
      <c r="T401">
        <v>1.5</v>
      </c>
      <c r="U401">
        <v>4.2</v>
      </c>
      <c r="V401">
        <v>6.5</v>
      </c>
      <c r="W401">
        <v>1.53</v>
      </c>
      <c r="X401">
        <v>4.4000000000000004</v>
      </c>
      <c r="Y401">
        <v>6</v>
      </c>
      <c r="Z401">
        <v>1.54</v>
      </c>
      <c r="AA401">
        <v>4.28</v>
      </c>
      <c r="AB401">
        <v>6.43</v>
      </c>
      <c r="AC401">
        <v>1.5</v>
      </c>
      <c r="AD401">
        <v>4.2</v>
      </c>
      <c r="AE401">
        <v>6.5</v>
      </c>
      <c r="AF401">
        <v>1.5</v>
      </c>
      <c r="AG401">
        <v>4.4000000000000004</v>
      </c>
      <c r="AH401">
        <v>6</v>
      </c>
      <c r="AI401">
        <v>1.57</v>
      </c>
      <c r="AJ401">
        <v>4.5999999999999996</v>
      </c>
      <c r="AK401">
        <v>7</v>
      </c>
      <c r="AL401">
        <v>1.53</v>
      </c>
      <c r="AM401">
        <v>4.3099999999999996</v>
      </c>
      <c r="AN401">
        <v>6.26</v>
      </c>
      <c r="AO401">
        <v>1</v>
      </c>
      <c r="AP401">
        <v>0.63873680869634197</v>
      </c>
      <c r="AQ401">
        <v>0.21800364992462101</v>
      </c>
      <c r="AR401">
        <v>0.14325954137903599</v>
      </c>
      <c r="AS401">
        <v>1</v>
      </c>
      <c r="AT401">
        <v>2.8167896532571499E-3</v>
      </c>
      <c r="AU401">
        <v>2.67085049883485</v>
      </c>
      <c r="AV401">
        <f t="shared" si="35"/>
        <v>55348099430810.469</v>
      </c>
      <c r="AW401">
        <f t="shared" si="36"/>
        <v>35352868397843.711</v>
      </c>
      <c r="AX401">
        <f t="shared" si="37"/>
        <v>12066087692307.527</v>
      </c>
      <c r="AY401">
        <f t="shared" si="38"/>
        <v>7929143340659.2314</v>
      </c>
      <c r="AZ401" cm="1">
        <f t="array" ref="AZ401">_xlfn.IFS(E401="H",AW401*AI401-AV401,E401="D",AX401*AJ401-AV401,E401="A",AY401*AK401-AV401)</f>
        <v>155903953804.15625</v>
      </c>
      <c r="BA401">
        <f t="shared" si="39"/>
        <v>4243199285540.4854</v>
      </c>
    </row>
    <row r="402" spans="1:53" x14ac:dyDescent="0.2">
      <c r="A402">
        <v>22</v>
      </c>
      <c r="B402" t="s">
        <v>67</v>
      </c>
      <c r="C402" s="1">
        <v>44584</v>
      </c>
      <c r="D402" t="s">
        <v>396</v>
      </c>
      <c r="E402" t="s">
        <v>74</v>
      </c>
      <c r="F402" t="s">
        <v>287</v>
      </c>
      <c r="G402" t="s">
        <v>86</v>
      </c>
      <c r="H402">
        <v>12471</v>
      </c>
      <c r="I402" t="s">
        <v>312</v>
      </c>
      <c r="J402" t="s">
        <v>385</v>
      </c>
      <c r="K402" t="s">
        <v>54</v>
      </c>
      <c r="L402">
        <v>2022</v>
      </c>
      <c r="M402">
        <v>1</v>
      </c>
      <c r="N402">
        <v>1</v>
      </c>
      <c r="O402">
        <v>0</v>
      </c>
      <c r="P402">
        <v>0</v>
      </c>
      <c r="Q402">
        <v>2.5</v>
      </c>
      <c r="R402">
        <v>3.2</v>
      </c>
      <c r="S402">
        <v>3</v>
      </c>
      <c r="T402">
        <v>2.5</v>
      </c>
      <c r="U402">
        <v>3.1</v>
      </c>
      <c r="V402">
        <v>2.9</v>
      </c>
      <c r="W402">
        <v>2.5499999999999998</v>
      </c>
      <c r="X402">
        <v>3.15</v>
      </c>
      <c r="Y402">
        <v>2.9</v>
      </c>
      <c r="Z402">
        <v>2.62</v>
      </c>
      <c r="AA402">
        <v>3</v>
      </c>
      <c r="AB402">
        <v>3.14</v>
      </c>
      <c r="AC402">
        <v>2.5499999999999998</v>
      </c>
      <c r="AD402">
        <v>3</v>
      </c>
      <c r="AE402">
        <v>3</v>
      </c>
      <c r="AF402">
        <v>2.4500000000000002</v>
      </c>
      <c r="AG402">
        <v>3.1</v>
      </c>
      <c r="AH402">
        <v>2.88</v>
      </c>
      <c r="AI402">
        <v>2.62</v>
      </c>
      <c r="AJ402">
        <v>3.3</v>
      </c>
      <c r="AK402">
        <v>3.18</v>
      </c>
      <c r="AL402">
        <v>2.54</v>
      </c>
      <c r="AM402">
        <v>3.14</v>
      </c>
      <c r="AN402">
        <v>2.98</v>
      </c>
      <c r="AO402">
        <v>1</v>
      </c>
      <c r="AP402">
        <v>0.38199449613418901</v>
      </c>
      <c r="AQ402">
        <v>0.30328047874896202</v>
      </c>
      <c r="AR402">
        <v>0.31472502511684702</v>
      </c>
      <c r="AS402">
        <v>1</v>
      </c>
      <c r="AT402" s="2">
        <v>8.2557987157638702E-4</v>
      </c>
      <c r="AU402">
        <v>2.67167607870643</v>
      </c>
      <c r="AV402">
        <f t="shared" si="35"/>
        <v>59591298716350.953</v>
      </c>
      <c r="AW402">
        <f t="shared" si="36"/>
        <v>22763548127134.453</v>
      </c>
      <c r="AX402">
        <f t="shared" si="37"/>
        <v>18072877603967.355</v>
      </c>
      <c r="AY402">
        <f t="shared" si="38"/>
        <v>18754872985249.141</v>
      </c>
      <c r="AZ402" cm="1">
        <f t="array" ref="AZ402">_xlfn.IFS(E402="H",AW402*AI402-AV402,E402="D",AX402*AJ402-AV402,E402="A",AY402*AK402-AV402)</f>
        <v>49197376741.320312</v>
      </c>
      <c r="BA402">
        <f t="shared" si="39"/>
        <v>4292396662281.8057</v>
      </c>
    </row>
    <row r="403" spans="1:53" x14ac:dyDescent="0.2">
      <c r="A403">
        <v>21</v>
      </c>
      <c r="B403" t="s">
        <v>55</v>
      </c>
      <c r="C403" s="1">
        <v>44597</v>
      </c>
      <c r="D403" t="s">
        <v>73</v>
      </c>
      <c r="E403" t="s">
        <v>49</v>
      </c>
      <c r="F403" t="s">
        <v>148</v>
      </c>
      <c r="G403" t="s">
        <v>255</v>
      </c>
      <c r="H403">
        <v>7600</v>
      </c>
      <c r="I403" t="s">
        <v>367</v>
      </c>
      <c r="J403" t="s">
        <v>140</v>
      </c>
      <c r="K403" t="s">
        <v>54</v>
      </c>
      <c r="L403">
        <v>2022</v>
      </c>
      <c r="M403">
        <v>1</v>
      </c>
      <c r="N403">
        <v>1</v>
      </c>
      <c r="O403">
        <v>2</v>
      </c>
      <c r="P403">
        <v>2</v>
      </c>
      <c r="Q403">
        <v>2.75</v>
      </c>
      <c r="R403">
        <v>3.3</v>
      </c>
      <c r="S403">
        <v>2.6</v>
      </c>
      <c r="T403">
        <v>2.9</v>
      </c>
      <c r="U403">
        <v>3.3</v>
      </c>
      <c r="V403">
        <v>2.4</v>
      </c>
      <c r="W403">
        <v>2.75</v>
      </c>
      <c r="X403">
        <v>3.3</v>
      </c>
      <c r="Y403">
        <v>2.6</v>
      </c>
      <c r="Z403">
        <v>2.78</v>
      </c>
      <c r="AA403">
        <v>3.27</v>
      </c>
      <c r="AB403">
        <v>2.72</v>
      </c>
      <c r="AC403">
        <v>2.88</v>
      </c>
      <c r="AD403">
        <v>3.3</v>
      </c>
      <c r="AE403">
        <v>2.4500000000000002</v>
      </c>
      <c r="AF403">
        <v>2.75</v>
      </c>
      <c r="AG403">
        <v>3.3</v>
      </c>
      <c r="AH403">
        <v>2.6</v>
      </c>
      <c r="AI403">
        <v>2.91</v>
      </c>
      <c r="AJ403">
        <v>3.52</v>
      </c>
      <c r="AK403">
        <v>2.74</v>
      </c>
      <c r="AL403">
        <v>2.78</v>
      </c>
      <c r="AM403">
        <v>3.31</v>
      </c>
      <c r="AN403">
        <v>2.62</v>
      </c>
      <c r="AO403">
        <v>1</v>
      </c>
      <c r="AP403">
        <v>0.34617068776156201</v>
      </c>
      <c r="AQ403">
        <v>0.28618088107560902</v>
      </c>
      <c r="AR403">
        <v>0.36764843116282703</v>
      </c>
      <c r="AS403">
        <v>1</v>
      </c>
      <c r="AT403">
        <v>7.3567013861473001E-3</v>
      </c>
      <c r="AU403">
        <v>2.6790327800925802</v>
      </c>
      <c r="AV403">
        <f t="shared" si="35"/>
        <v>63883695378632.758</v>
      </c>
      <c r="AW403">
        <f t="shared" si="36"/>
        <v>22114662765971.461</v>
      </c>
      <c r="AX403">
        <f t="shared" si="37"/>
        <v>18282292229822.996</v>
      </c>
      <c r="AY403">
        <f t="shared" si="38"/>
        <v>23486740382838.301</v>
      </c>
      <c r="AZ403" cm="1">
        <f t="array" ref="AZ403">_xlfn.IFS(E403="H",AW403*AI403-AV403,E403="D",AX403*AJ403-AV403,E403="A",AY403*AK403-AV403)</f>
        <v>469973270344.19531</v>
      </c>
      <c r="BA403">
        <f t="shared" si="39"/>
        <v>4762369932626.001</v>
      </c>
    </row>
    <row r="404" spans="1:53" x14ac:dyDescent="0.2">
      <c r="A404">
        <v>23</v>
      </c>
      <c r="B404" t="s">
        <v>55</v>
      </c>
      <c r="C404" s="1">
        <v>44597</v>
      </c>
      <c r="D404" t="s">
        <v>68</v>
      </c>
      <c r="E404" t="s">
        <v>57</v>
      </c>
      <c r="F404" t="s">
        <v>86</v>
      </c>
      <c r="G404" t="s">
        <v>161</v>
      </c>
      <c r="H404">
        <v>17635</v>
      </c>
      <c r="I404" t="s">
        <v>88</v>
      </c>
      <c r="J404" t="s">
        <v>116</v>
      </c>
      <c r="K404" t="s">
        <v>54</v>
      </c>
      <c r="L404">
        <v>2022</v>
      </c>
      <c r="M404">
        <v>1.5</v>
      </c>
      <c r="N404">
        <v>1.5</v>
      </c>
      <c r="O404">
        <v>2</v>
      </c>
      <c r="P404">
        <v>1</v>
      </c>
      <c r="Q404">
        <v>3.6</v>
      </c>
      <c r="R404">
        <v>3.2</v>
      </c>
      <c r="S404">
        <v>2.15</v>
      </c>
      <c r="T404">
        <v>3.5</v>
      </c>
      <c r="U404">
        <v>3.2</v>
      </c>
      <c r="V404">
        <v>2.15</v>
      </c>
      <c r="W404">
        <v>3.4</v>
      </c>
      <c r="X404">
        <v>3.15</v>
      </c>
      <c r="Y404">
        <v>2.25</v>
      </c>
      <c r="Z404">
        <v>3.66</v>
      </c>
      <c r="AA404">
        <v>3.04</v>
      </c>
      <c r="AB404">
        <v>2.3199999999999998</v>
      </c>
      <c r="AC404">
        <v>3.5</v>
      </c>
      <c r="AD404">
        <v>3.1</v>
      </c>
      <c r="AE404">
        <v>2.2000000000000002</v>
      </c>
      <c r="AF404">
        <v>3.4</v>
      </c>
      <c r="AG404">
        <v>3.1</v>
      </c>
      <c r="AH404">
        <v>2.2000000000000002</v>
      </c>
      <c r="AI404">
        <v>3.84</v>
      </c>
      <c r="AJ404">
        <v>3.3</v>
      </c>
      <c r="AK404">
        <v>2.35</v>
      </c>
      <c r="AL404">
        <v>3.51</v>
      </c>
      <c r="AM404">
        <v>3.15</v>
      </c>
      <c r="AN404">
        <v>2.2599999999999998</v>
      </c>
      <c r="AO404">
        <v>1</v>
      </c>
      <c r="AP404">
        <v>0.26331873281043</v>
      </c>
      <c r="AQ404">
        <v>0.30640725272486502</v>
      </c>
      <c r="AR404">
        <v>0.43027401446470398</v>
      </c>
      <c r="AS404">
        <v>1</v>
      </c>
      <c r="AT404">
        <v>1.1143933992054701E-2</v>
      </c>
      <c r="AU404">
        <v>2.6901767140846302</v>
      </c>
      <c r="AV404">
        <f t="shared" si="35"/>
        <v>68646065311258.758</v>
      </c>
      <c r="AW404">
        <f t="shared" si="36"/>
        <v>18075794930182.734</v>
      </c>
      <c r="AX404">
        <f t="shared" si="37"/>
        <v>21033652282394.457</v>
      </c>
      <c r="AY404">
        <f t="shared" si="38"/>
        <v>29536618098681.57</v>
      </c>
      <c r="AZ404" cm="1">
        <f t="array" ref="AZ404">_xlfn.IFS(E404="H",AW404*AI404-AV404,E404="D",AX404*AJ404-AV404,E404="A",AY404*AK404-AV404)</f>
        <v>764987220642.94531</v>
      </c>
      <c r="BA404">
        <f t="shared" si="39"/>
        <v>5527357153268.9463</v>
      </c>
    </row>
    <row r="405" spans="1:53" x14ac:dyDescent="0.2">
      <c r="A405">
        <v>23</v>
      </c>
      <c r="B405" t="s">
        <v>67</v>
      </c>
      <c r="C405" s="1">
        <v>44598</v>
      </c>
      <c r="D405" t="s">
        <v>183</v>
      </c>
      <c r="E405" t="s">
        <v>49</v>
      </c>
      <c r="F405" t="s">
        <v>83</v>
      </c>
      <c r="G405" t="s">
        <v>58</v>
      </c>
      <c r="H405">
        <v>22240</v>
      </c>
      <c r="I405" t="s">
        <v>84</v>
      </c>
      <c r="J405" t="s">
        <v>445</v>
      </c>
      <c r="K405" t="s">
        <v>54</v>
      </c>
      <c r="L405">
        <v>2022</v>
      </c>
      <c r="M405">
        <v>3</v>
      </c>
      <c r="N405">
        <v>3</v>
      </c>
      <c r="O405">
        <v>0</v>
      </c>
      <c r="P405">
        <v>1</v>
      </c>
      <c r="Q405">
        <v>1.75</v>
      </c>
      <c r="R405">
        <v>3.75</v>
      </c>
      <c r="S405">
        <v>4.5</v>
      </c>
      <c r="T405">
        <v>1.75</v>
      </c>
      <c r="U405">
        <v>3.8</v>
      </c>
      <c r="V405">
        <v>4.4000000000000004</v>
      </c>
      <c r="W405">
        <v>1.8</v>
      </c>
      <c r="X405">
        <v>3.7</v>
      </c>
      <c r="Y405">
        <v>4.5</v>
      </c>
      <c r="Z405">
        <v>1.78</v>
      </c>
      <c r="AA405">
        <v>3.91</v>
      </c>
      <c r="AB405">
        <v>4.62</v>
      </c>
      <c r="AC405">
        <v>1.78</v>
      </c>
      <c r="AD405">
        <v>3.6</v>
      </c>
      <c r="AE405">
        <v>4.5999999999999996</v>
      </c>
      <c r="AF405">
        <v>1.75</v>
      </c>
      <c r="AG405">
        <v>3.6</v>
      </c>
      <c r="AH405">
        <v>4.8</v>
      </c>
      <c r="AI405">
        <v>1.86</v>
      </c>
      <c r="AJ405">
        <v>4</v>
      </c>
      <c r="AK405">
        <v>4.8</v>
      </c>
      <c r="AL405">
        <v>1.78</v>
      </c>
      <c r="AM405">
        <v>3.74</v>
      </c>
      <c r="AN405">
        <v>4.53</v>
      </c>
      <c r="AO405">
        <v>1</v>
      </c>
      <c r="AP405">
        <v>0.53981106612685503</v>
      </c>
      <c r="AQ405">
        <v>0.251012145748987</v>
      </c>
      <c r="AR405">
        <v>0.20917678812415599</v>
      </c>
      <c r="AS405">
        <v>0.999999999999999</v>
      </c>
      <c r="AT405">
        <v>4.0485829959513399E-3</v>
      </c>
      <c r="AU405">
        <v>2.69422529708058</v>
      </c>
      <c r="AV405">
        <f t="shared" si="35"/>
        <v>74173422464527.703</v>
      </c>
      <c r="AW405">
        <f t="shared" si="36"/>
        <v>40039634258854.359</v>
      </c>
      <c r="AX405">
        <f t="shared" si="37"/>
        <v>18618429930367.277</v>
      </c>
      <c r="AY405">
        <f t="shared" si="38"/>
        <v>15515358275306.066</v>
      </c>
      <c r="AZ405" cm="1">
        <f t="array" ref="AZ405">_xlfn.IFS(E405="H",AW405*AI405-AV405,E405="D",AX405*AJ405-AV405,E405="A",AY405*AK405-AV405)</f>
        <v>300297256941.40625</v>
      </c>
      <c r="BA405">
        <f t="shared" si="39"/>
        <v>5827654410210.3525</v>
      </c>
    </row>
    <row r="406" spans="1:53" x14ac:dyDescent="0.2">
      <c r="A406">
        <v>23</v>
      </c>
      <c r="B406" t="s">
        <v>67</v>
      </c>
      <c r="C406" s="1">
        <v>44598</v>
      </c>
      <c r="D406" t="s">
        <v>82</v>
      </c>
      <c r="E406" t="s">
        <v>49</v>
      </c>
      <c r="F406" t="s">
        <v>69</v>
      </c>
      <c r="G406" t="s">
        <v>96</v>
      </c>
      <c r="H406">
        <v>25409</v>
      </c>
      <c r="I406" t="s">
        <v>71</v>
      </c>
      <c r="J406" t="s">
        <v>415</v>
      </c>
      <c r="K406" t="s">
        <v>54</v>
      </c>
      <c r="L406">
        <v>2022</v>
      </c>
      <c r="M406">
        <v>3</v>
      </c>
      <c r="N406">
        <v>6</v>
      </c>
      <c r="O406">
        <v>0</v>
      </c>
      <c r="P406">
        <v>0</v>
      </c>
      <c r="Q406">
        <v>1.5</v>
      </c>
      <c r="R406">
        <v>4.2</v>
      </c>
      <c r="S406">
        <v>7</v>
      </c>
      <c r="T406">
        <v>1.5</v>
      </c>
      <c r="U406">
        <v>4.33</v>
      </c>
      <c r="V406">
        <v>6.5</v>
      </c>
      <c r="W406">
        <v>1.5</v>
      </c>
      <c r="X406">
        <v>4.5</v>
      </c>
      <c r="Y406">
        <v>6.25</v>
      </c>
      <c r="Z406">
        <v>1.49</v>
      </c>
      <c r="AA406">
        <v>4.6900000000000004</v>
      </c>
      <c r="AB406">
        <v>6.51</v>
      </c>
      <c r="AC406">
        <v>1.47</v>
      </c>
      <c r="AD406">
        <v>4.2</v>
      </c>
      <c r="AE406">
        <v>7</v>
      </c>
      <c r="AF406">
        <v>1.45</v>
      </c>
      <c r="AG406">
        <v>4.4000000000000004</v>
      </c>
      <c r="AH406">
        <v>7</v>
      </c>
      <c r="AI406">
        <v>1.56</v>
      </c>
      <c r="AJ406">
        <v>4.8</v>
      </c>
      <c r="AK406">
        <v>7.2</v>
      </c>
      <c r="AL406">
        <v>1.49</v>
      </c>
      <c r="AM406">
        <v>4.4800000000000004</v>
      </c>
      <c r="AN406">
        <v>6.45</v>
      </c>
      <c r="AO406">
        <v>1</v>
      </c>
      <c r="AP406">
        <v>0.64864864864864802</v>
      </c>
      <c r="AQ406">
        <v>0.21081081081080999</v>
      </c>
      <c r="AR406">
        <v>0.14054054054053999</v>
      </c>
      <c r="AS406">
        <v>1</v>
      </c>
      <c r="AT406">
        <v>1.1891891891891901E-2</v>
      </c>
      <c r="AU406">
        <v>2.70611718897247</v>
      </c>
      <c r="AV406">
        <f t="shared" si="35"/>
        <v>80001076874738.062</v>
      </c>
      <c r="AW406">
        <f t="shared" si="36"/>
        <v>51892590405235.508</v>
      </c>
      <c r="AX406">
        <f t="shared" si="37"/>
        <v>16865091881701.537</v>
      </c>
      <c r="AY406">
        <f t="shared" si="38"/>
        <v>11243394587801.025</v>
      </c>
      <c r="AZ406" cm="1">
        <f t="array" ref="AZ406">_xlfn.IFS(E406="H",AW406*AI406-AV406,E406="D",AX406*AJ406-AV406,E406="A",AY406*AK406-AV406)</f>
        <v>951364157429.32812</v>
      </c>
      <c r="BA406">
        <f t="shared" si="39"/>
        <v>6779018567639.6807</v>
      </c>
    </row>
    <row r="407" spans="1:53" x14ac:dyDescent="0.2">
      <c r="A407">
        <v>24</v>
      </c>
      <c r="B407" t="s">
        <v>198</v>
      </c>
      <c r="C407" s="1">
        <v>44599</v>
      </c>
      <c r="D407" t="s">
        <v>48</v>
      </c>
      <c r="E407" t="s">
        <v>57</v>
      </c>
      <c r="F407" t="s">
        <v>447</v>
      </c>
      <c r="G407" t="s">
        <v>371</v>
      </c>
      <c r="H407">
        <v>10668</v>
      </c>
      <c r="I407" t="s">
        <v>448</v>
      </c>
      <c r="J407" t="s">
        <v>208</v>
      </c>
      <c r="K407" t="s">
        <v>54</v>
      </c>
      <c r="L407">
        <v>2022</v>
      </c>
      <c r="M407">
        <v>0</v>
      </c>
      <c r="N407">
        <v>0</v>
      </c>
      <c r="O407">
        <v>3</v>
      </c>
      <c r="P407">
        <v>1.5</v>
      </c>
      <c r="Q407">
        <v>2.87</v>
      </c>
      <c r="R407">
        <v>3.4</v>
      </c>
      <c r="S407">
        <v>2.5</v>
      </c>
      <c r="T407">
        <v>2.95</v>
      </c>
      <c r="U407">
        <v>3.4</v>
      </c>
      <c r="V407">
        <v>2.35</v>
      </c>
      <c r="W407">
        <v>2.9</v>
      </c>
      <c r="X407">
        <v>3.35</v>
      </c>
      <c r="Y407">
        <v>2.4500000000000002</v>
      </c>
      <c r="Z407">
        <v>2.96</v>
      </c>
      <c r="AA407">
        <v>3.35</v>
      </c>
      <c r="AB407">
        <v>2.52</v>
      </c>
      <c r="AC407">
        <v>2.88</v>
      </c>
      <c r="AD407">
        <v>3.4</v>
      </c>
      <c r="AE407">
        <v>2.4</v>
      </c>
      <c r="AF407">
        <v>3</v>
      </c>
      <c r="AG407">
        <v>3.2</v>
      </c>
      <c r="AH407">
        <v>2.4</v>
      </c>
      <c r="AI407">
        <v>3.09</v>
      </c>
      <c r="AJ407">
        <v>3.62</v>
      </c>
      <c r="AK407">
        <v>2.57</v>
      </c>
      <c r="AL407">
        <v>2.9</v>
      </c>
      <c r="AM407">
        <v>3.39</v>
      </c>
      <c r="AN407">
        <v>2.46</v>
      </c>
      <c r="AO407">
        <v>1</v>
      </c>
      <c r="AP407">
        <v>0.32723307715305699</v>
      </c>
      <c r="AQ407">
        <v>0.27932326198976398</v>
      </c>
      <c r="AR407">
        <v>0.39344366085717802</v>
      </c>
      <c r="AS407">
        <v>1</v>
      </c>
      <c r="AT407">
        <v>1.11502084029475E-2</v>
      </c>
      <c r="AU407">
        <v>2.7172673973754198</v>
      </c>
      <c r="AV407">
        <f t="shared" si="35"/>
        <v>86780095442377.75</v>
      </c>
      <c r="AW407">
        <f t="shared" si="36"/>
        <v>28397317667245.285</v>
      </c>
      <c r="AX407">
        <f t="shared" si="37"/>
        <v>24239699334748.047</v>
      </c>
      <c r="AY407">
        <f t="shared" si="38"/>
        <v>34143078440384.414</v>
      </c>
      <c r="AZ407" cm="1">
        <f t="array" ref="AZ407">_xlfn.IFS(E407="H",AW407*AI407-AV407,E407="D",AX407*AJ407-AV407,E407="A",AY407*AK407-AV407)</f>
        <v>967616149410.1875</v>
      </c>
      <c r="BA407">
        <f t="shared" si="39"/>
        <v>7746634717049.8682</v>
      </c>
    </row>
    <row r="408" spans="1:53" x14ac:dyDescent="0.2">
      <c r="A408">
        <v>22</v>
      </c>
      <c r="B408" t="s">
        <v>55</v>
      </c>
      <c r="C408" s="1">
        <v>44604</v>
      </c>
      <c r="D408" t="s">
        <v>190</v>
      </c>
      <c r="E408" t="s">
        <v>49</v>
      </c>
      <c r="F408" t="s">
        <v>192</v>
      </c>
      <c r="G408" t="s">
        <v>364</v>
      </c>
      <c r="H408">
        <v>10000</v>
      </c>
      <c r="I408" t="s">
        <v>339</v>
      </c>
      <c r="J408" t="s">
        <v>247</v>
      </c>
      <c r="K408" t="s">
        <v>54</v>
      </c>
      <c r="L408">
        <v>2022</v>
      </c>
      <c r="M408">
        <v>2</v>
      </c>
      <c r="N408">
        <v>3.5</v>
      </c>
      <c r="O408">
        <v>0.5</v>
      </c>
      <c r="P408">
        <v>0</v>
      </c>
      <c r="Q408">
        <v>1.4</v>
      </c>
      <c r="R408">
        <v>4.75</v>
      </c>
      <c r="S408">
        <v>7</v>
      </c>
      <c r="T408">
        <v>1.44</v>
      </c>
      <c r="U408">
        <v>4.75</v>
      </c>
      <c r="V408">
        <v>6.5</v>
      </c>
      <c r="W408">
        <v>1.43</v>
      </c>
      <c r="X408">
        <v>5.25</v>
      </c>
      <c r="Y408">
        <v>6.5</v>
      </c>
      <c r="Z408">
        <v>1.43</v>
      </c>
      <c r="AA408">
        <v>5.16</v>
      </c>
      <c r="AB408">
        <v>7.5</v>
      </c>
      <c r="AC408">
        <v>1.42</v>
      </c>
      <c r="AD408">
        <v>4.75</v>
      </c>
      <c r="AE408">
        <v>7</v>
      </c>
      <c r="AF408">
        <v>1.4</v>
      </c>
      <c r="AG408">
        <v>5</v>
      </c>
      <c r="AH408">
        <v>7</v>
      </c>
      <c r="AI408">
        <v>1.46</v>
      </c>
      <c r="AJ408">
        <v>5.4</v>
      </c>
      <c r="AK408">
        <v>7.7</v>
      </c>
      <c r="AL408">
        <v>1.42</v>
      </c>
      <c r="AM408">
        <v>5.04</v>
      </c>
      <c r="AN408">
        <v>7.02</v>
      </c>
      <c r="AO408">
        <v>1</v>
      </c>
      <c r="AP408">
        <v>0.68494053306098202</v>
      </c>
      <c r="AQ408">
        <v>0.18518762560537599</v>
      </c>
      <c r="AR408">
        <v>0.12987184133363999</v>
      </c>
      <c r="AS408">
        <v>1</v>
      </c>
      <c r="AT408" s="2">
        <v>1.3178269034463899E-5</v>
      </c>
      <c r="AU408">
        <v>2.7172805756444598</v>
      </c>
      <c r="AV408">
        <f t="shared" si="35"/>
        <v>94526730159427.625</v>
      </c>
      <c r="AW408">
        <f t="shared" si="36"/>
        <v>64745188943910.008</v>
      </c>
      <c r="AX408">
        <f t="shared" si="37"/>
        <v>17505180714464.557</v>
      </c>
      <c r="AY408">
        <f t="shared" si="38"/>
        <v>12276360501053.066</v>
      </c>
      <c r="AZ408" cm="1">
        <f t="array" ref="AZ408">_xlfn.IFS(E408="H",AW408*AI408-AV408,E408="D",AX408*AJ408-AV408,E408="A",AY408*AK408-AV408)</f>
        <v>1245698680.984375</v>
      </c>
      <c r="BA408">
        <f t="shared" si="39"/>
        <v>7747880415730.8525</v>
      </c>
    </row>
    <row r="409" spans="1:53" x14ac:dyDescent="0.2">
      <c r="A409">
        <v>24</v>
      </c>
      <c r="B409" t="s">
        <v>55</v>
      </c>
      <c r="C409" s="1">
        <v>44604</v>
      </c>
      <c r="D409" t="s">
        <v>396</v>
      </c>
      <c r="E409" t="s">
        <v>57</v>
      </c>
      <c r="F409" t="s">
        <v>382</v>
      </c>
      <c r="G409" t="s">
        <v>157</v>
      </c>
      <c r="H409">
        <v>15635</v>
      </c>
      <c r="I409" t="s">
        <v>383</v>
      </c>
      <c r="J409" t="s">
        <v>260</v>
      </c>
      <c r="K409" t="s">
        <v>54</v>
      </c>
      <c r="L409">
        <v>2022</v>
      </c>
      <c r="M409">
        <v>0.5</v>
      </c>
      <c r="N409">
        <v>1</v>
      </c>
      <c r="O409">
        <v>1.3333333333333299</v>
      </c>
      <c r="P409">
        <v>1.3333333333333299</v>
      </c>
      <c r="Q409">
        <v>3.8</v>
      </c>
      <c r="R409">
        <v>3.4</v>
      </c>
      <c r="S409">
        <v>2.0499999999999998</v>
      </c>
      <c r="T409">
        <v>3.8</v>
      </c>
      <c r="U409">
        <v>3.2</v>
      </c>
      <c r="V409">
        <v>2.0499999999999998</v>
      </c>
      <c r="W409">
        <v>3.75</v>
      </c>
      <c r="X409">
        <v>3.35</v>
      </c>
      <c r="Y409">
        <v>2.0499999999999998</v>
      </c>
      <c r="Z409">
        <v>4.12</v>
      </c>
      <c r="AA409">
        <v>3.35</v>
      </c>
      <c r="AB409">
        <v>2.08</v>
      </c>
      <c r="AC409">
        <v>3.8</v>
      </c>
      <c r="AD409">
        <v>3.3</v>
      </c>
      <c r="AE409">
        <v>2.0499999999999998</v>
      </c>
      <c r="AF409">
        <v>3.7</v>
      </c>
      <c r="AG409">
        <v>3.3</v>
      </c>
      <c r="AH409">
        <v>2</v>
      </c>
      <c r="AI409">
        <v>4.2</v>
      </c>
      <c r="AJ409">
        <v>3.54</v>
      </c>
      <c r="AK409">
        <v>2.12</v>
      </c>
      <c r="AL409">
        <v>3.88</v>
      </c>
      <c r="AM409">
        <v>3.33</v>
      </c>
      <c r="AN409">
        <v>2.06</v>
      </c>
      <c r="AO409">
        <v>1</v>
      </c>
      <c r="AP409">
        <v>0.23994782074892501</v>
      </c>
      <c r="AQ409">
        <v>0.28468385512584399</v>
      </c>
      <c r="AR409">
        <v>0.47536832412523</v>
      </c>
      <c r="AS409">
        <v>1</v>
      </c>
      <c r="AT409">
        <v>7.7808471454881003E-3</v>
      </c>
      <c r="AU409">
        <v>2.7250614227899499</v>
      </c>
      <c r="AV409">
        <f t="shared" si="35"/>
        <v>102274610575158.48</v>
      </c>
      <c r="AW409">
        <f t="shared" si="36"/>
        <v>24540569925454.309</v>
      </c>
      <c r="AX409">
        <f t="shared" si="37"/>
        <v>29115930420030.539</v>
      </c>
      <c r="AY409">
        <f t="shared" si="38"/>
        <v>48618110229673.633</v>
      </c>
      <c r="AZ409" cm="1">
        <f t="array" ref="AZ409">_xlfn.IFS(E409="H",AW409*AI409-AV409,E409="D",AX409*AJ409-AV409,E409="A",AY409*AK409-AV409)</f>
        <v>795783111749.625</v>
      </c>
      <c r="BA409">
        <f t="shared" si="39"/>
        <v>8543663527480.4775</v>
      </c>
    </row>
    <row r="410" spans="1:53" x14ac:dyDescent="0.2">
      <c r="A410">
        <v>25</v>
      </c>
      <c r="B410" t="s">
        <v>67</v>
      </c>
      <c r="C410" s="1">
        <v>44605</v>
      </c>
      <c r="D410" t="s">
        <v>125</v>
      </c>
      <c r="E410" t="s">
        <v>49</v>
      </c>
      <c r="F410" t="s">
        <v>248</v>
      </c>
      <c r="G410" t="s">
        <v>213</v>
      </c>
      <c r="H410">
        <v>52207</v>
      </c>
      <c r="I410" t="s">
        <v>250</v>
      </c>
      <c r="J410" t="s">
        <v>297</v>
      </c>
      <c r="K410" t="s">
        <v>54</v>
      </c>
      <c r="L410">
        <v>2022</v>
      </c>
      <c r="M410">
        <v>2</v>
      </c>
      <c r="N410">
        <v>2</v>
      </c>
      <c r="O410">
        <v>1.5</v>
      </c>
      <c r="P410">
        <v>1</v>
      </c>
      <c r="Q410">
        <v>2.7</v>
      </c>
      <c r="R410">
        <v>3.3</v>
      </c>
      <c r="S410">
        <v>2.62</v>
      </c>
      <c r="T410">
        <v>2.75</v>
      </c>
      <c r="U410">
        <v>3.4</v>
      </c>
      <c r="V410">
        <v>2.5</v>
      </c>
      <c r="W410">
        <v>2.7</v>
      </c>
      <c r="X410">
        <v>3.4</v>
      </c>
      <c r="Y410">
        <v>2.6</v>
      </c>
      <c r="Z410">
        <v>2.78</v>
      </c>
      <c r="AA410">
        <v>3.48</v>
      </c>
      <c r="AB410">
        <v>2.67</v>
      </c>
      <c r="AC410">
        <v>2.7</v>
      </c>
      <c r="AD410">
        <v>3.5</v>
      </c>
      <c r="AE410">
        <v>2.5</v>
      </c>
      <c r="AF410">
        <v>2.63</v>
      </c>
      <c r="AG410">
        <v>3.4</v>
      </c>
      <c r="AH410">
        <v>2.5499999999999998</v>
      </c>
      <c r="AI410">
        <v>2.8</v>
      </c>
      <c r="AJ410">
        <v>3.68</v>
      </c>
      <c r="AK410">
        <v>2.7</v>
      </c>
      <c r="AL410">
        <v>2.72</v>
      </c>
      <c r="AM410">
        <v>3.44</v>
      </c>
      <c r="AN410">
        <v>2.6</v>
      </c>
      <c r="AO410">
        <v>1</v>
      </c>
      <c r="AP410">
        <v>0.35741007194244601</v>
      </c>
      <c r="AQ410">
        <v>0.27194244604316498</v>
      </c>
      <c r="AR410">
        <v>0.37064748201438802</v>
      </c>
      <c r="AS410">
        <v>1</v>
      </c>
      <c r="AT410" s="2">
        <v>7.4820143884912695E-4</v>
      </c>
      <c r="AU410">
        <v>2.7258096242287899</v>
      </c>
      <c r="AV410">
        <f t="shared" si="35"/>
        <v>110818274102638.97</v>
      </c>
      <c r="AW410">
        <f t="shared" si="36"/>
        <v>39607567319561.906</v>
      </c>
      <c r="AX410">
        <f t="shared" si="37"/>
        <v>30136192525753.621</v>
      </c>
      <c r="AY410">
        <f t="shared" si="38"/>
        <v>41074514257323.445</v>
      </c>
      <c r="AZ410" cm="1">
        <f t="array" ref="AZ410">_xlfn.IFS(E410="H",AW410*AI410-AV410,E410="D",AX410*AJ410-AV410,E410="A",AY410*AK410-AV410)</f>
        <v>82914392134.359375</v>
      </c>
      <c r="BA410">
        <f t="shared" si="39"/>
        <v>8626577919614.8369</v>
      </c>
    </row>
    <row r="411" spans="1:53" x14ac:dyDescent="0.2">
      <c r="A411">
        <v>24</v>
      </c>
      <c r="B411" t="s">
        <v>67</v>
      </c>
      <c r="C411" s="1">
        <v>44605</v>
      </c>
      <c r="D411" t="s">
        <v>190</v>
      </c>
      <c r="E411" t="s">
        <v>49</v>
      </c>
      <c r="F411" t="s">
        <v>158</v>
      </c>
      <c r="G411" t="s">
        <v>287</v>
      </c>
      <c r="H411">
        <v>29847</v>
      </c>
      <c r="I411" t="s">
        <v>266</v>
      </c>
      <c r="J411" t="s">
        <v>168</v>
      </c>
      <c r="K411" t="s">
        <v>54</v>
      </c>
      <c r="L411">
        <v>2022</v>
      </c>
      <c r="M411">
        <v>2</v>
      </c>
      <c r="N411">
        <v>0.5</v>
      </c>
      <c r="O411">
        <v>0.33333333333333298</v>
      </c>
      <c r="P411">
        <v>0.66666666666666596</v>
      </c>
      <c r="Q411">
        <v>1.4</v>
      </c>
      <c r="R411">
        <v>4.5</v>
      </c>
      <c r="S411">
        <v>9</v>
      </c>
      <c r="T411">
        <v>1.41</v>
      </c>
      <c r="U411">
        <v>4.5</v>
      </c>
      <c r="V411">
        <v>8</v>
      </c>
      <c r="W411">
        <v>1.4</v>
      </c>
      <c r="X411">
        <v>4.7</v>
      </c>
      <c r="Y411">
        <v>8</v>
      </c>
      <c r="Z411">
        <v>1.41</v>
      </c>
      <c r="AA411">
        <v>4.88</v>
      </c>
      <c r="AB411">
        <v>8.84</v>
      </c>
      <c r="AC411">
        <v>1.4</v>
      </c>
      <c r="AD411">
        <v>4.4000000000000004</v>
      </c>
      <c r="AE411">
        <v>8.5</v>
      </c>
      <c r="AF411">
        <v>1.4</v>
      </c>
      <c r="AG411">
        <v>4.4000000000000004</v>
      </c>
      <c r="AH411">
        <v>8</v>
      </c>
      <c r="AI411">
        <v>1.46</v>
      </c>
      <c r="AJ411">
        <v>5</v>
      </c>
      <c r="AK411">
        <v>9</v>
      </c>
      <c r="AL411">
        <v>1.41</v>
      </c>
      <c r="AM411">
        <v>4.6100000000000003</v>
      </c>
      <c r="AN411">
        <v>8.32</v>
      </c>
      <c r="AO411">
        <v>1</v>
      </c>
      <c r="AP411">
        <v>0.68765281173594095</v>
      </c>
      <c r="AQ411">
        <v>0.20079462102689399</v>
      </c>
      <c r="AR411">
        <v>0.111552567237163</v>
      </c>
      <c r="AS411">
        <v>0.999999999999999</v>
      </c>
      <c r="AT411">
        <v>3.9731051344742401E-3</v>
      </c>
      <c r="AU411">
        <v>2.7297827293632699</v>
      </c>
      <c r="AV411">
        <f t="shared" si="35"/>
        <v>119444852022253.81</v>
      </c>
      <c r="AW411">
        <f t="shared" si="36"/>
        <v>82136588340486.266</v>
      </c>
      <c r="AX411">
        <f t="shared" si="37"/>
        <v>23983883795421.992</v>
      </c>
      <c r="AY411">
        <f t="shared" si="38"/>
        <v>13324379886345.551</v>
      </c>
      <c r="AZ411" cm="1">
        <f t="array" ref="AZ411">_xlfn.IFS(E411="H",AW411*AI411-AV411,E411="D",AX411*AJ411-AV411,E411="A",AY411*AK411-AV411)</f>
        <v>474566954856.125</v>
      </c>
      <c r="BA411">
        <f t="shared" si="39"/>
        <v>9101144874470.9609</v>
      </c>
    </row>
    <row r="412" spans="1:53" x14ac:dyDescent="0.2">
      <c r="A412">
        <v>24</v>
      </c>
      <c r="B412" t="s">
        <v>67</v>
      </c>
      <c r="C412" s="1">
        <v>44605</v>
      </c>
      <c r="D412" t="s">
        <v>68</v>
      </c>
      <c r="E412" t="s">
        <v>57</v>
      </c>
      <c r="F412" t="s">
        <v>114</v>
      </c>
      <c r="G412" t="s">
        <v>87</v>
      </c>
      <c r="H412">
        <v>25049</v>
      </c>
      <c r="I412" t="s">
        <v>449</v>
      </c>
      <c r="J412" t="s">
        <v>391</v>
      </c>
      <c r="K412" t="s">
        <v>54</v>
      </c>
      <c r="L412">
        <v>2022</v>
      </c>
      <c r="M412">
        <v>0</v>
      </c>
      <c r="N412">
        <v>1</v>
      </c>
      <c r="O412">
        <v>2.3333333333333299</v>
      </c>
      <c r="P412">
        <v>1</v>
      </c>
      <c r="Q412">
        <v>5</v>
      </c>
      <c r="R412">
        <v>3.6</v>
      </c>
      <c r="S412">
        <v>1.75</v>
      </c>
      <c r="T412">
        <v>4.5</v>
      </c>
      <c r="U412">
        <v>4</v>
      </c>
      <c r="V412">
        <v>1.71</v>
      </c>
      <c r="W412">
        <v>4.5</v>
      </c>
      <c r="X412">
        <v>3.9</v>
      </c>
      <c r="Y412">
        <v>1.75</v>
      </c>
      <c r="Z412">
        <v>4.8600000000000003</v>
      </c>
      <c r="AA412">
        <v>3.97</v>
      </c>
      <c r="AB412">
        <v>1.76</v>
      </c>
      <c r="AC412">
        <v>5</v>
      </c>
      <c r="AD412">
        <v>4</v>
      </c>
      <c r="AE412">
        <v>1.63</v>
      </c>
      <c r="AF412">
        <v>4.4000000000000004</v>
      </c>
      <c r="AG412">
        <v>3.9</v>
      </c>
      <c r="AH412">
        <v>1.7</v>
      </c>
      <c r="AI412">
        <v>5</v>
      </c>
      <c r="AJ412">
        <v>4.1500000000000004</v>
      </c>
      <c r="AK412">
        <v>1.8</v>
      </c>
      <c r="AL412">
        <v>4.62</v>
      </c>
      <c r="AM412">
        <v>3.92</v>
      </c>
      <c r="AN412">
        <v>1.75</v>
      </c>
      <c r="AO412">
        <v>1</v>
      </c>
      <c r="AP412">
        <v>0.20069854916711399</v>
      </c>
      <c r="AQ412">
        <v>0.24180548092423401</v>
      </c>
      <c r="AR412">
        <v>0.55749596990865102</v>
      </c>
      <c r="AS412">
        <v>1</v>
      </c>
      <c r="AT412">
        <v>3.49274583557246E-3</v>
      </c>
      <c r="AU412">
        <v>2.7332754751988402</v>
      </c>
      <c r="AV412">
        <f t="shared" si="35"/>
        <v>128545996896724.78</v>
      </c>
      <c r="AW412">
        <f t="shared" si="36"/>
        <v>25798995078413.062</v>
      </c>
      <c r="AX412">
        <f t="shared" si="37"/>
        <v>31083126600497.664</v>
      </c>
      <c r="AY412">
        <f t="shared" si="38"/>
        <v>71663875217814.062</v>
      </c>
      <c r="AZ412" cm="1">
        <f t="array" ref="AZ412">_xlfn.IFS(E412="H",AW412*AI412-AV412,E412="D",AX412*AJ412-AV412,E412="A",AY412*AK412-AV412)</f>
        <v>448978495340.53125</v>
      </c>
      <c r="BA412">
        <f t="shared" si="39"/>
        <v>9550123369811.4922</v>
      </c>
    </row>
    <row r="413" spans="1:53" x14ac:dyDescent="0.2">
      <c r="A413">
        <v>24</v>
      </c>
      <c r="B413" t="s">
        <v>67</v>
      </c>
      <c r="C413" s="1">
        <v>44605</v>
      </c>
      <c r="D413" t="s">
        <v>48</v>
      </c>
      <c r="E413" t="s">
        <v>74</v>
      </c>
      <c r="F413" t="s">
        <v>79</v>
      </c>
      <c r="G413" t="s">
        <v>59</v>
      </c>
      <c r="H413">
        <v>25482</v>
      </c>
      <c r="I413" t="s">
        <v>426</v>
      </c>
      <c r="J413" t="s">
        <v>424</v>
      </c>
      <c r="K413" t="s">
        <v>54</v>
      </c>
      <c r="L413">
        <v>2022</v>
      </c>
      <c r="M413">
        <v>0</v>
      </c>
      <c r="N413">
        <v>0</v>
      </c>
      <c r="O413">
        <v>2</v>
      </c>
      <c r="P413">
        <v>1.3333333333333299</v>
      </c>
      <c r="Q413">
        <v>5</v>
      </c>
      <c r="R413">
        <v>4</v>
      </c>
      <c r="S413">
        <v>1.66</v>
      </c>
      <c r="T413">
        <v>5.25</v>
      </c>
      <c r="U413">
        <v>3.9</v>
      </c>
      <c r="V413">
        <v>1.65</v>
      </c>
      <c r="W413">
        <v>5.25</v>
      </c>
      <c r="X413">
        <v>4</v>
      </c>
      <c r="Y413">
        <v>1.65</v>
      </c>
      <c r="Z413">
        <v>5.92</v>
      </c>
      <c r="AA413">
        <v>3.91</v>
      </c>
      <c r="AB413">
        <v>1.67</v>
      </c>
      <c r="AC413">
        <v>5.25</v>
      </c>
      <c r="AD413">
        <v>3.75</v>
      </c>
      <c r="AE413">
        <v>1.65</v>
      </c>
      <c r="AF413">
        <v>5.5</v>
      </c>
      <c r="AG413">
        <v>3.9</v>
      </c>
      <c r="AH413">
        <v>1.62</v>
      </c>
      <c r="AI413">
        <v>5.92</v>
      </c>
      <c r="AJ413">
        <v>4.0999999999999996</v>
      </c>
      <c r="AK413">
        <v>1.72</v>
      </c>
      <c r="AL413">
        <v>5.28</v>
      </c>
      <c r="AM413">
        <v>3.9</v>
      </c>
      <c r="AN413">
        <v>1.66</v>
      </c>
      <c r="AO413">
        <v>1</v>
      </c>
      <c r="AP413">
        <v>0.169901509164851</v>
      </c>
      <c r="AQ413">
        <v>0.245321203477054</v>
      </c>
      <c r="AR413">
        <v>0.58477728735809398</v>
      </c>
      <c r="AS413">
        <v>0.999999999999999</v>
      </c>
      <c r="AT413">
        <v>5.8169342559217796E-3</v>
      </c>
      <c r="AU413">
        <v>2.7390924094547602</v>
      </c>
      <c r="AV413">
        <f t="shared" si="35"/>
        <v>138096120266536.28</v>
      </c>
      <c r="AW413">
        <f t="shared" si="36"/>
        <v>23462739243095.375</v>
      </c>
      <c r="AX413">
        <f t="shared" si="37"/>
        <v>33877906419298.688</v>
      </c>
      <c r="AY413">
        <f t="shared" si="38"/>
        <v>80755474604142.219</v>
      </c>
      <c r="AZ413" cm="1">
        <f t="array" ref="AZ413">_xlfn.IFS(E413="H",AW413*AI413-AV413,E413="D",AX413*AJ413-AV413,E413="A",AY413*AK413-AV413)</f>
        <v>803296052588.32812</v>
      </c>
      <c r="BA413">
        <f t="shared" si="39"/>
        <v>10353419422399.82</v>
      </c>
    </row>
    <row r="414" spans="1:53" x14ac:dyDescent="0.2">
      <c r="A414">
        <v>23</v>
      </c>
      <c r="B414" t="s">
        <v>55</v>
      </c>
      <c r="C414" s="1">
        <v>44611</v>
      </c>
      <c r="D414" t="s">
        <v>73</v>
      </c>
      <c r="E414" t="s">
        <v>74</v>
      </c>
      <c r="F414" t="s">
        <v>261</v>
      </c>
      <c r="G414" t="s">
        <v>138</v>
      </c>
      <c r="H414">
        <v>7145</v>
      </c>
      <c r="I414" t="s">
        <v>262</v>
      </c>
      <c r="J414" t="s">
        <v>197</v>
      </c>
      <c r="K414" t="s">
        <v>54</v>
      </c>
      <c r="L414">
        <v>2022</v>
      </c>
      <c r="M414">
        <v>2</v>
      </c>
      <c r="N414">
        <v>2</v>
      </c>
      <c r="O414">
        <v>0</v>
      </c>
      <c r="P414">
        <v>0.5</v>
      </c>
      <c r="Q414">
        <v>2.7</v>
      </c>
      <c r="R414">
        <v>3.5</v>
      </c>
      <c r="S414">
        <v>2.5499999999999998</v>
      </c>
      <c r="T414">
        <v>2.7</v>
      </c>
      <c r="U414">
        <v>3.3</v>
      </c>
      <c r="V414">
        <v>2.5499999999999998</v>
      </c>
      <c r="W414">
        <v>2.7</v>
      </c>
      <c r="X414">
        <v>3.2</v>
      </c>
      <c r="Y414">
        <v>2.7</v>
      </c>
      <c r="Z414">
        <v>2.85</v>
      </c>
      <c r="AA414">
        <v>3.44</v>
      </c>
      <c r="AB414">
        <v>2.63</v>
      </c>
      <c r="AC414">
        <v>2.7</v>
      </c>
      <c r="AD414">
        <v>3.5</v>
      </c>
      <c r="AE414">
        <v>2.5</v>
      </c>
      <c r="AF414">
        <v>2.7</v>
      </c>
      <c r="AG414">
        <v>3.5</v>
      </c>
      <c r="AH414">
        <v>2.5</v>
      </c>
      <c r="AI414">
        <v>2.85</v>
      </c>
      <c r="AJ414">
        <v>3.72</v>
      </c>
      <c r="AK414">
        <v>2.7</v>
      </c>
      <c r="AL414">
        <v>2.73</v>
      </c>
      <c r="AM414">
        <v>3.5</v>
      </c>
      <c r="AN414">
        <v>2.57</v>
      </c>
      <c r="AO414">
        <v>1</v>
      </c>
      <c r="AP414">
        <v>0.35439822165766899</v>
      </c>
      <c r="AQ414">
        <v>0.27151476659256901</v>
      </c>
      <c r="AR414">
        <v>0.374087011749761</v>
      </c>
      <c r="AS414">
        <v>1</v>
      </c>
      <c r="AT414">
        <v>1.0034931724357E-2</v>
      </c>
      <c r="AU414">
        <v>2.7491273411791202</v>
      </c>
      <c r="AV414">
        <f t="shared" si="35"/>
        <v>148449539688936.09</v>
      </c>
      <c r="AW414">
        <f t="shared" si="36"/>
        <v>52610252871658.516</v>
      </c>
      <c r="AX414">
        <f t="shared" si="37"/>
        <v>40306242119415.805</v>
      </c>
      <c r="AY414">
        <f t="shared" si="38"/>
        <v>55533044697861.773</v>
      </c>
      <c r="AZ414" cm="1">
        <f t="array" ref="AZ414">_xlfn.IFS(E414="H",AW414*AI414-AV414,E414="D",AX414*AJ414-AV414,E414="A",AY414*AK414-AV414)</f>
        <v>1489680995290.7188</v>
      </c>
      <c r="BA414">
        <f t="shared" si="39"/>
        <v>11843100417690.539</v>
      </c>
    </row>
    <row r="415" spans="1:53" x14ac:dyDescent="0.2">
      <c r="A415">
        <v>23</v>
      </c>
      <c r="B415" t="s">
        <v>55</v>
      </c>
      <c r="C415" s="1">
        <v>44611</v>
      </c>
      <c r="D415" t="s">
        <v>73</v>
      </c>
      <c r="E415" t="s">
        <v>74</v>
      </c>
      <c r="F415" t="s">
        <v>148</v>
      </c>
      <c r="G415" t="s">
        <v>172</v>
      </c>
      <c r="H415">
        <v>15000</v>
      </c>
      <c r="I415" t="s">
        <v>367</v>
      </c>
      <c r="J415" t="s">
        <v>335</v>
      </c>
      <c r="K415" t="s">
        <v>54</v>
      </c>
      <c r="L415">
        <v>2022</v>
      </c>
      <c r="M415">
        <v>2</v>
      </c>
      <c r="N415">
        <v>1.5</v>
      </c>
      <c r="O415">
        <v>0</v>
      </c>
      <c r="P415">
        <v>0.5</v>
      </c>
      <c r="Q415">
        <v>3.1</v>
      </c>
      <c r="R415">
        <v>3.4</v>
      </c>
      <c r="S415">
        <v>2.2999999999999998</v>
      </c>
      <c r="T415">
        <v>3.1</v>
      </c>
      <c r="U415">
        <v>3.3</v>
      </c>
      <c r="V415">
        <v>2.2999999999999998</v>
      </c>
      <c r="W415">
        <v>3</v>
      </c>
      <c r="X415">
        <v>3.35</v>
      </c>
      <c r="Y415">
        <v>2.35</v>
      </c>
      <c r="Z415">
        <v>3.25</v>
      </c>
      <c r="AA415">
        <v>3.45</v>
      </c>
      <c r="AB415">
        <v>2.36</v>
      </c>
      <c r="AC415">
        <v>3</v>
      </c>
      <c r="AD415">
        <v>3.3</v>
      </c>
      <c r="AE415">
        <v>2.35</v>
      </c>
      <c r="AF415">
        <v>3</v>
      </c>
      <c r="AG415">
        <v>3.4</v>
      </c>
      <c r="AH415">
        <v>2.2999999999999998</v>
      </c>
      <c r="AI415">
        <v>3.27</v>
      </c>
      <c r="AJ415">
        <v>3.54</v>
      </c>
      <c r="AK415">
        <v>2.5</v>
      </c>
      <c r="AL415">
        <v>3.1</v>
      </c>
      <c r="AM415">
        <v>3.37</v>
      </c>
      <c r="AN415">
        <v>2.36</v>
      </c>
      <c r="AO415">
        <v>1</v>
      </c>
      <c r="AP415">
        <v>0.309431904002685</v>
      </c>
      <c r="AQ415">
        <v>0.28583116556180199</v>
      </c>
      <c r="AR415">
        <v>0.40473693043551201</v>
      </c>
      <c r="AS415">
        <v>0.999999999999999</v>
      </c>
      <c r="AT415">
        <v>1.18423260887807E-2</v>
      </c>
      <c r="AU415">
        <v>2.7609696672678998</v>
      </c>
      <c r="AV415">
        <f t="shared" si="35"/>
        <v>160292640106626.62</v>
      </c>
      <c r="AW415">
        <f t="shared" si="36"/>
        <v>49599656825810.664</v>
      </c>
      <c r="AX415">
        <f t="shared" si="37"/>
        <v>45816632152655.609</v>
      </c>
      <c r="AY415">
        <f t="shared" si="38"/>
        <v>64876351128160.344</v>
      </c>
      <c r="AZ415" cm="1">
        <f t="array" ref="AZ415">_xlfn.IFS(E415="H",AW415*AI415-AV415,E415="D",AX415*AJ415-AV415,E415="A",AY415*AK415-AV415)</f>
        <v>1898237713774.25</v>
      </c>
      <c r="BA415">
        <f t="shared" si="39"/>
        <v>13741338131464.789</v>
      </c>
    </row>
    <row r="416" spans="1:53" x14ac:dyDescent="0.2">
      <c r="A416">
        <v>23</v>
      </c>
      <c r="B416" t="s">
        <v>55</v>
      </c>
      <c r="C416" s="1">
        <v>44611</v>
      </c>
      <c r="D416" t="s">
        <v>190</v>
      </c>
      <c r="E416" t="s">
        <v>49</v>
      </c>
      <c r="F416" t="s">
        <v>223</v>
      </c>
      <c r="G416" t="s">
        <v>200</v>
      </c>
      <c r="H416">
        <v>10000</v>
      </c>
      <c r="I416" t="s">
        <v>224</v>
      </c>
      <c r="J416" t="s">
        <v>174</v>
      </c>
      <c r="K416" t="s">
        <v>54</v>
      </c>
      <c r="L416">
        <v>2022</v>
      </c>
      <c r="M416">
        <v>1.5</v>
      </c>
      <c r="N416">
        <v>0.5</v>
      </c>
      <c r="O416">
        <v>2</v>
      </c>
      <c r="P416">
        <v>2</v>
      </c>
      <c r="Q416">
        <v>2.25</v>
      </c>
      <c r="R416">
        <v>3.5</v>
      </c>
      <c r="S416">
        <v>3.1</v>
      </c>
      <c r="T416">
        <v>2.2999999999999998</v>
      </c>
      <c r="U416">
        <v>3.5</v>
      </c>
      <c r="V416">
        <v>2.9</v>
      </c>
      <c r="W416">
        <v>2.2999999999999998</v>
      </c>
      <c r="X416">
        <v>3.65</v>
      </c>
      <c r="Y416">
        <v>2.9</v>
      </c>
      <c r="Z416">
        <v>2.34</v>
      </c>
      <c r="AA416">
        <v>3.65</v>
      </c>
      <c r="AB416">
        <v>3.11</v>
      </c>
      <c r="AC416">
        <v>2.2000000000000002</v>
      </c>
      <c r="AD416">
        <v>3.7</v>
      </c>
      <c r="AE416">
        <v>3</v>
      </c>
      <c r="AF416">
        <v>2.25</v>
      </c>
      <c r="AG416">
        <v>3.7</v>
      </c>
      <c r="AH416">
        <v>2.9</v>
      </c>
      <c r="AI416">
        <v>2.34</v>
      </c>
      <c r="AJ416">
        <v>3.94</v>
      </c>
      <c r="AK416">
        <v>3.15</v>
      </c>
      <c r="AL416">
        <v>2.2799999999999998</v>
      </c>
      <c r="AM416">
        <v>3.66</v>
      </c>
      <c r="AN416">
        <v>3.02</v>
      </c>
      <c r="AO416">
        <v>1</v>
      </c>
      <c r="AP416">
        <v>0.42794190665342602</v>
      </c>
      <c r="AQ416">
        <v>0.25415839126117101</v>
      </c>
      <c r="AR416">
        <v>0.31789970208540203</v>
      </c>
      <c r="AS416">
        <v>1</v>
      </c>
      <c r="AT416">
        <v>1.38406156901682E-3</v>
      </c>
      <c r="AU416">
        <v>2.7623537288369202</v>
      </c>
      <c r="AV416">
        <f t="shared" si="35"/>
        <v>174033978238091.41</v>
      </c>
      <c r="AW416">
        <f t="shared" si="36"/>
        <v>74476432469689.688</v>
      </c>
      <c r="AX416">
        <f t="shared" si="37"/>
        <v>44232195933775.094</v>
      </c>
      <c r="AY416">
        <f t="shared" si="38"/>
        <v>55325349834626.625</v>
      </c>
      <c r="AZ416" cm="1">
        <f t="array" ref="AZ416">_xlfn.IFS(E416="H",AW416*AI416-AV416,E416="D",AX416*AJ416-AV416,E416="A",AY416*AK416-AV416)</f>
        <v>240873740982.4375</v>
      </c>
      <c r="BA416">
        <f t="shared" si="39"/>
        <v>13982211872447.227</v>
      </c>
    </row>
    <row r="417" spans="1:53" x14ac:dyDescent="0.2">
      <c r="A417">
        <v>26</v>
      </c>
      <c r="B417" t="s">
        <v>55</v>
      </c>
      <c r="C417" s="1">
        <v>44611</v>
      </c>
      <c r="D417" t="s">
        <v>107</v>
      </c>
      <c r="E417" t="s">
        <v>57</v>
      </c>
      <c r="F417" t="s">
        <v>108</v>
      </c>
      <c r="G417" t="s">
        <v>142</v>
      </c>
      <c r="H417">
        <v>34777</v>
      </c>
      <c r="I417" t="s">
        <v>110</v>
      </c>
      <c r="J417" t="s">
        <v>212</v>
      </c>
      <c r="K417" t="s">
        <v>54</v>
      </c>
      <c r="L417">
        <v>2022</v>
      </c>
      <c r="M417">
        <v>1.3333333333333299</v>
      </c>
      <c r="N417">
        <v>1.3333333333333299</v>
      </c>
      <c r="O417">
        <v>2</v>
      </c>
      <c r="P417">
        <v>2</v>
      </c>
      <c r="Q417">
        <v>1.95</v>
      </c>
      <c r="R417">
        <v>3.75</v>
      </c>
      <c r="S417">
        <v>3.6</v>
      </c>
      <c r="T417">
        <v>1.9</v>
      </c>
      <c r="U417">
        <v>3.75</v>
      </c>
      <c r="V417">
        <v>3.75</v>
      </c>
      <c r="W417">
        <v>2</v>
      </c>
      <c r="X417">
        <v>3.7</v>
      </c>
      <c r="Y417">
        <v>3.55</v>
      </c>
      <c r="Z417">
        <v>2.09</v>
      </c>
      <c r="AA417">
        <v>3.55</v>
      </c>
      <c r="AB417">
        <v>3.81</v>
      </c>
      <c r="AC417">
        <v>1.88</v>
      </c>
      <c r="AD417">
        <v>3.7</v>
      </c>
      <c r="AE417">
        <v>3.9</v>
      </c>
      <c r="AF417">
        <v>1.93</v>
      </c>
      <c r="AG417">
        <v>3.5</v>
      </c>
      <c r="AH417">
        <v>3.9</v>
      </c>
      <c r="AI417">
        <v>2.09</v>
      </c>
      <c r="AJ417">
        <v>3.92</v>
      </c>
      <c r="AK417">
        <v>3.96</v>
      </c>
      <c r="AL417">
        <v>1.99</v>
      </c>
      <c r="AM417">
        <v>3.67</v>
      </c>
      <c r="AN417">
        <v>3.72</v>
      </c>
      <c r="AO417">
        <v>1</v>
      </c>
      <c r="AP417">
        <v>0.48521523861917198</v>
      </c>
      <c r="AQ417">
        <v>0.258698940998487</v>
      </c>
      <c r="AR417">
        <v>0.25608582038234001</v>
      </c>
      <c r="AS417">
        <v>1</v>
      </c>
      <c r="AT417">
        <v>1.40998487140695E-2</v>
      </c>
      <c r="AU417">
        <v>2.7764535775509902</v>
      </c>
      <c r="AV417">
        <f t="shared" si="35"/>
        <v>188016190110538.62</v>
      </c>
      <c r="AW417">
        <f t="shared" si="36"/>
        <v>91228320548752.625</v>
      </c>
      <c r="AX417">
        <f t="shared" si="37"/>
        <v>48639589272166.57</v>
      </c>
      <c r="AY417">
        <f t="shared" si="38"/>
        <v>48148280289619.438</v>
      </c>
      <c r="AZ417" cm="1">
        <f t="array" ref="AZ417">_xlfn.IFS(E417="H",AW417*AI417-AV417,E417="D",AX417*AJ417-AV417,E417="A",AY417*AK417-AV417)</f>
        <v>2650999836354.3125</v>
      </c>
      <c r="BA417">
        <f t="shared" si="39"/>
        <v>16633211708801.539</v>
      </c>
    </row>
    <row r="418" spans="1:53" x14ac:dyDescent="0.2">
      <c r="A418">
        <v>26</v>
      </c>
      <c r="B418" t="s">
        <v>55</v>
      </c>
      <c r="C418" s="1">
        <v>44611</v>
      </c>
      <c r="D418" t="s">
        <v>99</v>
      </c>
      <c r="E418" t="s">
        <v>74</v>
      </c>
      <c r="F418" t="s">
        <v>101</v>
      </c>
      <c r="G418" t="s">
        <v>227</v>
      </c>
      <c r="H418">
        <v>53201</v>
      </c>
      <c r="I418" t="s">
        <v>290</v>
      </c>
      <c r="J418" t="s">
        <v>129</v>
      </c>
      <c r="K418" t="s">
        <v>54</v>
      </c>
      <c r="L418">
        <v>2022</v>
      </c>
      <c r="M418">
        <v>3</v>
      </c>
      <c r="N418">
        <v>1.5</v>
      </c>
      <c r="O418">
        <v>2</v>
      </c>
      <c r="P418">
        <v>1.3333333333333299</v>
      </c>
      <c r="Q418">
        <v>1.28</v>
      </c>
      <c r="R418">
        <v>6</v>
      </c>
      <c r="S418">
        <v>10</v>
      </c>
      <c r="T418">
        <v>1.26</v>
      </c>
      <c r="U418">
        <v>5.75</v>
      </c>
      <c r="V418">
        <v>12</v>
      </c>
      <c r="W418">
        <v>1.3</v>
      </c>
      <c r="X418">
        <v>5.75</v>
      </c>
      <c r="Y418">
        <v>9.5</v>
      </c>
      <c r="Z418">
        <v>1.29</v>
      </c>
      <c r="AA418">
        <v>6.05</v>
      </c>
      <c r="AB418">
        <v>11.91</v>
      </c>
      <c r="AC418">
        <v>1.27</v>
      </c>
      <c r="AD418">
        <v>5.5</v>
      </c>
      <c r="AE418">
        <v>11</v>
      </c>
      <c r="AF418">
        <v>1.25</v>
      </c>
      <c r="AG418">
        <v>5.5</v>
      </c>
      <c r="AH418">
        <v>11.5</v>
      </c>
      <c r="AI418">
        <v>1.32</v>
      </c>
      <c r="AJ418">
        <v>6.35</v>
      </c>
      <c r="AK418">
        <v>12.25</v>
      </c>
      <c r="AL418">
        <v>1.29</v>
      </c>
      <c r="AM418">
        <v>5.87</v>
      </c>
      <c r="AN418">
        <v>10.84</v>
      </c>
      <c r="AO418">
        <v>1</v>
      </c>
      <c r="AP418">
        <v>0.76009263285437201</v>
      </c>
      <c r="AQ418">
        <v>0.15800350793193199</v>
      </c>
      <c r="AR418">
        <v>8.1903859213695598E-2</v>
      </c>
      <c r="AS418">
        <v>1</v>
      </c>
      <c r="AT418">
        <v>3.3222753677710701E-3</v>
      </c>
      <c r="AU418">
        <v>2.7797758529187599</v>
      </c>
      <c r="AV418">
        <f t="shared" si="35"/>
        <v>204649401819340.16</v>
      </c>
      <c r="AW418">
        <f t="shared" si="36"/>
        <v>155552502640934.56</v>
      </c>
      <c r="AX418">
        <f t="shared" si="37"/>
        <v>32335323383627.34</v>
      </c>
      <c r="AY418">
        <f t="shared" si="38"/>
        <v>16761575794778.256</v>
      </c>
      <c r="AZ418" cm="1">
        <f t="array" ref="AZ418">_xlfn.IFS(E418="H",AW418*AI418-AV418,E418="D",AX418*AJ418-AV418,E418="A",AY418*AK418-AV418)</f>
        <v>679901666693.46875</v>
      </c>
      <c r="BA418">
        <f t="shared" si="39"/>
        <v>17313113375495.008</v>
      </c>
    </row>
    <row r="419" spans="1:53" x14ac:dyDescent="0.2">
      <c r="A419">
        <v>23</v>
      </c>
      <c r="B419" t="s">
        <v>67</v>
      </c>
      <c r="C419" s="1">
        <v>44612</v>
      </c>
      <c r="D419" t="s">
        <v>56</v>
      </c>
      <c r="E419" t="s">
        <v>49</v>
      </c>
      <c r="F419" t="s">
        <v>220</v>
      </c>
      <c r="G419" t="s">
        <v>76</v>
      </c>
      <c r="H419">
        <v>10000</v>
      </c>
      <c r="I419" t="s">
        <v>221</v>
      </c>
      <c r="J419" t="s">
        <v>258</v>
      </c>
      <c r="K419" t="s">
        <v>54</v>
      </c>
      <c r="L419">
        <v>2022</v>
      </c>
      <c r="M419">
        <v>1.5</v>
      </c>
      <c r="N419">
        <v>3.5</v>
      </c>
      <c r="O419">
        <v>2</v>
      </c>
      <c r="P419">
        <v>1.5</v>
      </c>
      <c r="Q419">
        <v>1.6</v>
      </c>
      <c r="R419">
        <v>4.2</v>
      </c>
      <c r="S419">
        <v>5.25</v>
      </c>
      <c r="T419">
        <v>1.58</v>
      </c>
      <c r="U419">
        <v>4.33</v>
      </c>
      <c r="V419">
        <v>5.25</v>
      </c>
      <c r="W419">
        <v>1.63</v>
      </c>
      <c r="X419">
        <v>4.5</v>
      </c>
      <c r="Y419">
        <v>4.5999999999999996</v>
      </c>
      <c r="Z419">
        <v>1.67</v>
      </c>
      <c r="AA419">
        <v>4.34</v>
      </c>
      <c r="AB419">
        <v>5.16</v>
      </c>
      <c r="AC419">
        <v>1.6</v>
      </c>
      <c r="AD419">
        <v>4.2</v>
      </c>
      <c r="AE419">
        <v>5</v>
      </c>
      <c r="AF419">
        <v>1.62</v>
      </c>
      <c r="AG419">
        <v>4.5</v>
      </c>
      <c r="AH419">
        <v>4.5999999999999996</v>
      </c>
      <c r="AI419">
        <v>1.68</v>
      </c>
      <c r="AJ419">
        <v>4.75</v>
      </c>
      <c r="AK419">
        <v>5.4</v>
      </c>
      <c r="AL419">
        <v>1.63</v>
      </c>
      <c r="AM419">
        <v>4.42</v>
      </c>
      <c r="AN419">
        <v>4.97</v>
      </c>
      <c r="AO419">
        <v>1</v>
      </c>
      <c r="AP419">
        <v>0.60067444147814997</v>
      </c>
      <c r="AQ419">
        <v>0.21244906561753499</v>
      </c>
      <c r="AR419">
        <v>0.18687649290431299</v>
      </c>
      <c r="AS419">
        <v>1</v>
      </c>
      <c r="AT419">
        <v>9.1330616832934197E-3</v>
      </c>
      <c r="AU419">
        <v>2.7889089146020498</v>
      </c>
      <c r="AV419">
        <f t="shared" si="35"/>
        <v>221962515194835.16</v>
      </c>
      <c r="AW419">
        <f t="shared" si="36"/>
        <v>133327209843743.19</v>
      </c>
      <c r="AX419">
        <f t="shared" si="37"/>
        <v>47155728955260.75</v>
      </c>
      <c r="AY419">
        <f t="shared" si="38"/>
        <v>41479576395831.211</v>
      </c>
      <c r="AZ419" cm="1">
        <f t="array" ref="AZ419">_xlfn.IFS(E419="H",AW419*AI419-AV419,E419="D",AX419*AJ419-AV419,E419="A",AY419*AK419-AV419)</f>
        <v>2027197342653.375</v>
      </c>
      <c r="BA419">
        <f t="shared" si="39"/>
        <v>19340310718148.383</v>
      </c>
    </row>
    <row r="420" spans="1:53" x14ac:dyDescent="0.2">
      <c r="A420">
        <v>24</v>
      </c>
      <c r="B420" t="s">
        <v>47</v>
      </c>
      <c r="C420" s="1">
        <v>44617</v>
      </c>
      <c r="D420" t="s">
        <v>199</v>
      </c>
      <c r="E420" t="s">
        <v>49</v>
      </c>
      <c r="F420" t="s">
        <v>138</v>
      </c>
      <c r="G420" t="s">
        <v>364</v>
      </c>
      <c r="H420">
        <v>18099</v>
      </c>
      <c r="I420" t="s">
        <v>139</v>
      </c>
      <c r="J420" t="s">
        <v>422</v>
      </c>
      <c r="K420" t="s">
        <v>54</v>
      </c>
      <c r="L420">
        <v>2022</v>
      </c>
      <c r="M420">
        <v>2</v>
      </c>
      <c r="N420">
        <v>2.3333333333333299</v>
      </c>
      <c r="O420">
        <v>0.33333333333333298</v>
      </c>
      <c r="P420">
        <v>0.66666666666666596</v>
      </c>
      <c r="Q420">
        <v>1.5</v>
      </c>
      <c r="R420">
        <v>4.5</v>
      </c>
      <c r="S420">
        <v>5.75</v>
      </c>
      <c r="T420">
        <v>1.53</v>
      </c>
      <c r="U420">
        <v>4.4000000000000004</v>
      </c>
      <c r="V420">
        <v>5.5</v>
      </c>
      <c r="W420">
        <v>1.55</v>
      </c>
      <c r="X420">
        <v>4.4000000000000004</v>
      </c>
      <c r="Y420">
        <v>5.5</v>
      </c>
      <c r="Z420">
        <v>1.55</v>
      </c>
      <c r="AA420">
        <v>4.6100000000000003</v>
      </c>
      <c r="AB420">
        <v>6.09</v>
      </c>
      <c r="AC420">
        <v>1.52</v>
      </c>
      <c r="AD420">
        <v>4.4000000000000004</v>
      </c>
      <c r="AE420">
        <v>5.8</v>
      </c>
      <c r="AF420">
        <v>1.5</v>
      </c>
      <c r="AG420">
        <v>4.5999999999999996</v>
      </c>
      <c r="AH420">
        <v>6</v>
      </c>
      <c r="AI420">
        <v>1.61</v>
      </c>
      <c r="AJ420">
        <v>4.8</v>
      </c>
      <c r="AK420">
        <v>6.2</v>
      </c>
      <c r="AL420">
        <v>1.53</v>
      </c>
      <c r="AM420">
        <v>4.59</v>
      </c>
      <c r="AN420">
        <v>5.88</v>
      </c>
      <c r="AO420">
        <v>1</v>
      </c>
      <c r="AP420">
        <v>0.62692226669475404</v>
      </c>
      <c r="AQ420">
        <v>0.210280176953865</v>
      </c>
      <c r="AR420">
        <v>0.16279755635137899</v>
      </c>
      <c r="AS420">
        <v>1</v>
      </c>
      <c r="AT420">
        <v>9.3448493785550594E-3</v>
      </c>
      <c r="AU420">
        <v>2.7982537639806102</v>
      </c>
      <c r="AV420">
        <f t="shared" si="35"/>
        <v>241302825912983.53</v>
      </c>
      <c r="AW420">
        <f t="shared" si="36"/>
        <v>151278114581217.38</v>
      </c>
      <c r="AX420">
        <f t="shared" si="37"/>
        <v>50741200932450.008</v>
      </c>
      <c r="AY420">
        <f t="shared" si="38"/>
        <v>39283510399316.133</v>
      </c>
      <c r="AZ420" cm="1">
        <f t="array" ref="AZ420">_xlfn.IFS(E420="H",AW420*AI420-AV420,E420="D",AX420*AJ420-AV420,E420="A",AY420*AK420-AV420)</f>
        <v>2254938562776.4688</v>
      </c>
      <c r="BA420">
        <f t="shared" si="39"/>
        <v>21595249280924.852</v>
      </c>
    </row>
    <row r="421" spans="1:53" x14ac:dyDescent="0.2">
      <c r="A421">
        <v>27</v>
      </c>
      <c r="B421" t="s">
        <v>47</v>
      </c>
      <c r="C421" s="1">
        <v>44617</v>
      </c>
      <c r="D421" t="s">
        <v>450</v>
      </c>
      <c r="E421" t="s">
        <v>57</v>
      </c>
      <c r="F421" t="s">
        <v>243</v>
      </c>
      <c r="G421" t="s">
        <v>314</v>
      </c>
      <c r="H421">
        <v>44588</v>
      </c>
      <c r="I421" t="s">
        <v>244</v>
      </c>
      <c r="J421" t="s">
        <v>451</v>
      </c>
      <c r="K421" t="s">
        <v>54</v>
      </c>
      <c r="L421">
        <v>2022</v>
      </c>
      <c r="M421">
        <v>1.75</v>
      </c>
      <c r="N421">
        <v>1.25</v>
      </c>
      <c r="O421">
        <v>0.33333333333333298</v>
      </c>
      <c r="P421">
        <v>0</v>
      </c>
      <c r="Q421">
        <v>1.5</v>
      </c>
      <c r="R421">
        <v>4</v>
      </c>
      <c r="S421">
        <v>7</v>
      </c>
      <c r="T421">
        <v>1.5</v>
      </c>
      <c r="U421">
        <v>4.0999999999999996</v>
      </c>
      <c r="V421">
        <v>6.75</v>
      </c>
      <c r="W421">
        <v>1.5</v>
      </c>
      <c r="X421">
        <v>4.4000000000000004</v>
      </c>
      <c r="Y421">
        <v>6.75</v>
      </c>
      <c r="Z421">
        <v>1.49</v>
      </c>
      <c r="AA421">
        <v>4.3600000000000003</v>
      </c>
      <c r="AB421">
        <v>8.0299999999999994</v>
      </c>
      <c r="AC421">
        <v>1.52</v>
      </c>
      <c r="AD421">
        <v>4</v>
      </c>
      <c r="AE421">
        <v>6.5</v>
      </c>
      <c r="AF421">
        <v>1.45</v>
      </c>
      <c r="AG421">
        <v>4.2</v>
      </c>
      <c r="AH421">
        <v>8</v>
      </c>
      <c r="AI421">
        <v>1.63</v>
      </c>
      <c r="AJ421">
        <v>4.5</v>
      </c>
      <c r="AK421">
        <v>8.0299999999999994</v>
      </c>
      <c r="AL421">
        <v>1.5</v>
      </c>
      <c r="AM421">
        <v>4.26</v>
      </c>
      <c r="AN421">
        <v>7.19</v>
      </c>
      <c r="AO421">
        <v>1</v>
      </c>
      <c r="AP421">
        <v>0.63889149187837802</v>
      </c>
      <c r="AQ421">
        <v>0.231420695947056</v>
      </c>
      <c r="AR421">
        <v>0.12968781217456399</v>
      </c>
      <c r="AS421">
        <v>1</v>
      </c>
      <c r="AT421">
        <v>4.1393131761756102E-2</v>
      </c>
      <c r="AU421">
        <v>2.83964689574236</v>
      </c>
      <c r="AV421">
        <f t="shared" si="35"/>
        <v>262898075193908.38</v>
      </c>
      <c r="AW421">
        <f t="shared" si="36"/>
        <v>167963343472590.16</v>
      </c>
      <c r="AX421">
        <f t="shared" si="37"/>
        <v>60840055524515.984</v>
      </c>
      <c r="AY421">
        <f t="shared" si="38"/>
        <v>34094676196802.238</v>
      </c>
      <c r="AZ421" cm="1">
        <f t="array" ref="AZ421">_xlfn.IFS(E421="H",AW421*AI421-AV421,E421="D",AX421*AJ421-AV421,E421="A",AY421*AK421-AV421)</f>
        <v>10882174666413.562</v>
      </c>
      <c r="BA421">
        <f t="shared" si="39"/>
        <v>32477423947338.414</v>
      </c>
    </row>
    <row r="422" spans="1:53" x14ac:dyDescent="0.2">
      <c r="A422">
        <v>24</v>
      </c>
      <c r="B422" t="s">
        <v>55</v>
      </c>
      <c r="C422" s="1">
        <v>44618</v>
      </c>
      <c r="D422" t="s">
        <v>190</v>
      </c>
      <c r="E422" t="s">
        <v>74</v>
      </c>
      <c r="F422" t="s">
        <v>200</v>
      </c>
      <c r="G422" t="s">
        <v>191</v>
      </c>
      <c r="H422">
        <v>25000</v>
      </c>
      <c r="I422" t="s">
        <v>380</v>
      </c>
      <c r="J422" t="s">
        <v>452</v>
      </c>
      <c r="K422" t="s">
        <v>54</v>
      </c>
      <c r="L422">
        <v>2022</v>
      </c>
      <c r="M422">
        <v>0</v>
      </c>
      <c r="N422">
        <v>0.66666666666666596</v>
      </c>
      <c r="O422">
        <v>2</v>
      </c>
      <c r="P422">
        <v>3.3333333333333299</v>
      </c>
      <c r="Q422">
        <v>6</v>
      </c>
      <c r="R422">
        <v>5</v>
      </c>
      <c r="S422">
        <v>1.44</v>
      </c>
      <c r="T422">
        <v>6.5</v>
      </c>
      <c r="U422">
        <v>4.8</v>
      </c>
      <c r="V422">
        <v>1.44</v>
      </c>
      <c r="W422">
        <v>5.5</v>
      </c>
      <c r="X422">
        <v>4.9000000000000004</v>
      </c>
      <c r="Y422">
        <v>1.5</v>
      </c>
      <c r="Z422">
        <v>6.94</v>
      </c>
      <c r="AA422">
        <v>5.09</v>
      </c>
      <c r="AB422">
        <v>1.46</v>
      </c>
      <c r="AC422">
        <v>6</v>
      </c>
      <c r="AD422">
        <v>5</v>
      </c>
      <c r="AE422">
        <v>1.44</v>
      </c>
      <c r="AF422">
        <v>5.75</v>
      </c>
      <c r="AG422">
        <v>5.25</v>
      </c>
      <c r="AH422">
        <v>1.44</v>
      </c>
      <c r="AI422">
        <v>7</v>
      </c>
      <c r="AJ422">
        <v>5.6</v>
      </c>
      <c r="AK422">
        <v>1.5</v>
      </c>
      <c r="AL422">
        <v>6.35</v>
      </c>
      <c r="AM422">
        <v>5.09</v>
      </c>
      <c r="AN422">
        <v>1.45</v>
      </c>
      <c r="AO422">
        <v>1</v>
      </c>
      <c r="AP422">
        <v>0.14457831325301199</v>
      </c>
      <c r="AQ422">
        <v>0.180722891566265</v>
      </c>
      <c r="AR422">
        <v>0.67469879518072295</v>
      </c>
      <c r="AS422">
        <v>1</v>
      </c>
      <c r="AT422">
        <v>1.20481927710844E-2</v>
      </c>
      <c r="AU422">
        <v>2.8516950885134502</v>
      </c>
      <c r="AV422">
        <f t="shared" si="35"/>
        <v>295375499141246.81</v>
      </c>
      <c r="AW422">
        <f t="shared" si="36"/>
        <v>42704891442107.969</v>
      </c>
      <c r="AX422">
        <f t="shared" si="37"/>
        <v>53381114302634.969</v>
      </c>
      <c r="AY422">
        <f t="shared" si="38"/>
        <v>199289493396503.91</v>
      </c>
      <c r="AZ422" cm="1">
        <f t="array" ref="AZ422">_xlfn.IFS(E422="H",AW422*AI422-AV422,E422="D",AX422*AJ422-AV422,E422="A",AY422*AK422-AV422)</f>
        <v>3558740953509.0625</v>
      </c>
      <c r="BA422">
        <f t="shared" si="39"/>
        <v>36036164900847.477</v>
      </c>
    </row>
    <row r="423" spans="1:53" x14ac:dyDescent="0.2">
      <c r="A423">
        <v>27</v>
      </c>
      <c r="B423" t="s">
        <v>55</v>
      </c>
      <c r="C423" s="1">
        <v>44618</v>
      </c>
      <c r="D423" t="s">
        <v>409</v>
      </c>
      <c r="E423" t="s">
        <v>74</v>
      </c>
      <c r="F423" t="s">
        <v>346</v>
      </c>
      <c r="G423" t="s">
        <v>227</v>
      </c>
      <c r="H423">
        <v>36599</v>
      </c>
      <c r="I423" t="s">
        <v>347</v>
      </c>
      <c r="J423" t="s">
        <v>297</v>
      </c>
      <c r="K423" t="s">
        <v>54</v>
      </c>
      <c r="L423">
        <v>2022</v>
      </c>
      <c r="M423">
        <v>1</v>
      </c>
      <c r="N423">
        <v>1.6666666666666601</v>
      </c>
      <c r="O423">
        <v>1.5</v>
      </c>
      <c r="P423">
        <v>1.5</v>
      </c>
      <c r="Q423">
        <v>4.2</v>
      </c>
      <c r="R423">
        <v>3.6</v>
      </c>
      <c r="S423">
        <v>1.85</v>
      </c>
      <c r="T423">
        <v>4</v>
      </c>
      <c r="U423">
        <v>3.8</v>
      </c>
      <c r="V423">
        <v>1.83</v>
      </c>
      <c r="W423">
        <v>3.95</v>
      </c>
      <c r="X423">
        <v>3.95</v>
      </c>
      <c r="Y423">
        <v>1.83</v>
      </c>
      <c r="Z423">
        <v>4.1399999999999997</v>
      </c>
      <c r="AA423">
        <v>4.03</v>
      </c>
      <c r="AB423">
        <v>1.87</v>
      </c>
      <c r="AC423">
        <v>3.8</v>
      </c>
      <c r="AD423">
        <v>3.75</v>
      </c>
      <c r="AE423">
        <v>1.88</v>
      </c>
      <c r="AF423">
        <v>4</v>
      </c>
      <c r="AG423">
        <v>3.9</v>
      </c>
      <c r="AH423">
        <v>1.87</v>
      </c>
      <c r="AI423">
        <v>4.25</v>
      </c>
      <c r="AJ423">
        <v>4.1500000000000004</v>
      </c>
      <c r="AK423">
        <v>1.94</v>
      </c>
      <c r="AL423">
        <v>4.03</v>
      </c>
      <c r="AM423">
        <v>3.96</v>
      </c>
      <c r="AN423">
        <v>1.86</v>
      </c>
      <c r="AO423">
        <v>1</v>
      </c>
      <c r="AP423">
        <v>0.23725816670841501</v>
      </c>
      <c r="AQ423">
        <v>0.24297523096644899</v>
      </c>
      <c r="AR423">
        <v>0.51976660232513505</v>
      </c>
      <c r="AS423">
        <v>1</v>
      </c>
      <c r="AT423">
        <v>8.3472085107636398E-3</v>
      </c>
      <c r="AU423">
        <v>2.8600422970242101</v>
      </c>
      <c r="AV423">
        <f t="shared" si="35"/>
        <v>331411664042094.31</v>
      </c>
      <c r="AW423">
        <f t="shared" si="36"/>
        <v>78630123836412.438</v>
      </c>
      <c r="AX423">
        <f t="shared" si="37"/>
        <v>80524825615603.078</v>
      </c>
      <c r="AY423">
        <f t="shared" si="38"/>
        <v>172256714590078.78</v>
      </c>
      <c r="AZ423" cm="1">
        <f t="array" ref="AZ423">_xlfn.IFS(E423="H",AW423*AI423-AV423,E423="D",AX423*AJ423-AV423,E423="A",AY423*AK423-AV423)</f>
        <v>2766362262658.5</v>
      </c>
      <c r="BA423">
        <f t="shared" si="39"/>
        <v>38802527163505.977</v>
      </c>
    </row>
    <row r="424" spans="1:53" x14ac:dyDescent="0.2">
      <c r="A424">
        <v>27</v>
      </c>
      <c r="B424" t="s">
        <v>55</v>
      </c>
      <c r="C424" s="1">
        <v>44618</v>
      </c>
      <c r="D424" t="s">
        <v>99</v>
      </c>
      <c r="E424" t="s">
        <v>74</v>
      </c>
      <c r="F424" t="s">
        <v>252</v>
      </c>
      <c r="G424" t="s">
        <v>101</v>
      </c>
      <c r="H424">
        <v>39105</v>
      </c>
      <c r="I424" t="s">
        <v>253</v>
      </c>
      <c r="J424" t="s">
        <v>407</v>
      </c>
      <c r="K424" t="s">
        <v>54</v>
      </c>
      <c r="L424">
        <v>2022</v>
      </c>
      <c r="M424">
        <v>1</v>
      </c>
      <c r="N424">
        <v>1.6666666666666601</v>
      </c>
      <c r="O424">
        <v>2.3333333333333299</v>
      </c>
      <c r="P424">
        <v>2.3333333333333299</v>
      </c>
      <c r="Q424">
        <v>10</v>
      </c>
      <c r="R424">
        <v>5.75</v>
      </c>
      <c r="S424">
        <v>1.28</v>
      </c>
      <c r="T424">
        <v>9.5</v>
      </c>
      <c r="U424">
        <v>5.5</v>
      </c>
      <c r="V424">
        <v>1.31</v>
      </c>
      <c r="W424">
        <v>11</v>
      </c>
      <c r="X424">
        <v>6</v>
      </c>
      <c r="Y424">
        <v>1.27</v>
      </c>
      <c r="Z424">
        <v>10.59</v>
      </c>
      <c r="AA424">
        <v>6.17</v>
      </c>
      <c r="AB424">
        <v>1.29</v>
      </c>
      <c r="AC424">
        <v>11</v>
      </c>
      <c r="AD424">
        <v>5.8</v>
      </c>
      <c r="AE424">
        <v>1.25</v>
      </c>
      <c r="AF424">
        <v>12</v>
      </c>
      <c r="AG424">
        <v>6</v>
      </c>
      <c r="AH424">
        <v>1.22</v>
      </c>
      <c r="AI424">
        <v>12.5</v>
      </c>
      <c r="AJ424">
        <v>6.5</v>
      </c>
      <c r="AK424">
        <v>1.32</v>
      </c>
      <c r="AL424">
        <v>10.95</v>
      </c>
      <c r="AM424">
        <v>6.04</v>
      </c>
      <c r="AN424">
        <v>1.28</v>
      </c>
      <c r="AO424">
        <v>1</v>
      </c>
      <c r="AP424">
        <v>8.0692184707984504E-2</v>
      </c>
      <c r="AQ424">
        <v>0.155177278284585</v>
      </c>
      <c r="AR424">
        <v>0.76413053700742894</v>
      </c>
      <c r="AS424">
        <v>1</v>
      </c>
      <c r="AT424">
        <v>8.6523088498073799E-3</v>
      </c>
      <c r="AU424">
        <v>2.8686946058740199</v>
      </c>
      <c r="AV424">
        <f t="shared" si="35"/>
        <v>370214191205600.31</v>
      </c>
      <c r="AW424">
        <f t="shared" si="36"/>
        <v>29873391898279.422</v>
      </c>
      <c r="AX424">
        <f t="shared" si="37"/>
        <v>57448830573614.273</v>
      </c>
      <c r="AY424">
        <f t="shared" si="38"/>
        <v>282891968733706.62</v>
      </c>
      <c r="AZ424" cm="1">
        <f t="array" ref="AZ424">_xlfn.IFS(E424="H",AW424*AI424-AV424,E424="D",AX424*AJ424-AV424,E424="A",AY424*AK424-AV424)</f>
        <v>3203207522892.4375</v>
      </c>
      <c r="BA424">
        <f t="shared" si="39"/>
        <v>42005734686398.414</v>
      </c>
    </row>
    <row r="425" spans="1:53" x14ac:dyDescent="0.2">
      <c r="A425">
        <v>26</v>
      </c>
      <c r="B425" t="s">
        <v>55</v>
      </c>
      <c r="C425" s="1">
        <v>44618</v>
      </c>
      <c r="D425" t="s">
        <v>378</v>
      </c>
      <c r="E425" t="s">
        <v>57</v>
      </c>
      <c r="F425" t="s">
        <v>162</v>
      </c>
      <c r="G425" t="s">
        <v>286</v>
      </c>
      <c r="H425">
        <v>7720</v>
      </c>
      <c r="I425" t="s">
        <v>237</v>
      </c>
      <c r="J425" t="s">
        <v>385</v>
      </c>
      <c r="K425" t="s">
        <v>54</v>
      </c>
      <c r="L425">
        <v>2022</v>
      </c>
      <c r="M425">
        <v>3</v>
      </c>
      <c r="N425">
        <v>2.6666666666666599</v>
      </c>
      <c r="O425">
        <v>0</v>
      </c>
      <c r="P425">
        <v>0.33333333333333298</v>
      </c>
      <c r="Q425">
        <v>1.95</v>
      </c>
      <c r="R425">
        <v>3</v>
      </c>
      <c r="S425">
        <v>4.75</v>
      </c>
      <c r="T425">
        <v>1.98</v>
      </c>
      <c r="U425">
        <v>3.1</v>
      </c>
      <c r="V425">
        <v>4.33</v>
      </c>
      <c r="W425">
        <v>1.95</v>
      </c>
      <c r="X425">
        <v>3.1</v>
      </c>
      <c r="Y425">
        <v>4.7</v>
      </c>
      <c r="Z425">
        <v>1.95</v>
      </c>
      <c r="AA425">
        <v>3.14</v>
      </c>
      <c r="AB425">
        <v>5.2</v>
      </c>
      <c r="AC425">
        <v>1.95</v>
      </c>
      <c r="AD425">
        <v>3</v>
      </c>
      <c r="AE425">
        <v>4.8</v>
      </c>
      <c r="AF425">
        <v>1.9</v>
      </c>
      <c r="AG425">
        <v>3.1</v>
      </c>
      <c r="AH425">
        <v>4.5</v>
      </c>
      <c r="AI425">
        <v>2.02</v>
      </c>
      <c r="AJ425">
        <v>3.2</v>
      </c>
      <c r="AK425">
        <v>5.3</v>
      </c>
      <c r="AL425">
        <v>1.95</v>
      </c>
      <c r="AM425">
        <v>3.11</v>
      </c>
      <c r="AN425">
        <v>4.76</v>
      </c>
      <c r="AO425">
        <v>1</v>
      </c>
      <c r="AP425">
        <v>0.49692352768824999</v>
      </c>
      <c r="AQ425">
        <v>0.31368297685320801</v>
      </c>
      <c r="AR425">
        <v>0.18939349545854001</v>
      </c>
      <c r="AS425">
        <v>0.999999999999999</v>
      </c>
      <c r="AT425">
        <v>3.78552593026659E-3</v>
      </c>
      <c r="AU425">
        <v>2.8724801318042799</v>
      </c>
      <c r="AV425">
        <f t="shared" si="35"/>
        <v>412219925891998.75</v>
      </c>
      <c r="AW425">
        <f t="shared" si="36"/>
        <v>204841779757641.31</v>
      </c>
      <c r="AX425">
        <f t="shared" si="37"/>
        <v>129306373472011.08</v>
      </c>
      <c r="AY425">
        <f t="shared" si="38"/>
        <v>78071772662346.328</v>
      </c>
      <c r="AZ425" cm="1">
        <f t="array" ref="AZ425">_xlfn.IFS(E425="H",AW425*AI425-AV425,E425="D",AX425*AJ425-AV425,E425="A",AY425*AK425-AV425)</f>
        <v>1560469218436.75</v>
      </c>
      <c r="BA425">
        <f t="shared" si="39"/>
        <v>43566203904835.164</v>
      </c>
    </row>
    <row r="426" spans="1:53" x14ac:dyDescent="0.2">
      <c r="A426">
        <v>26</v>
      </c>
      <c r="B426" t="s">
        <v>55</v>
      </c>
      <c r="C426" s="1">
        <v>44618</v>
      </c>
      <c r="D426" t="s">
        <v>190</v>
      </c>
      <c r="E426" t="s">
        <v>74</v>
      </c>
      <c r="F426" t="s">
        <v>453</v>
      </c>
      <c r="G426" t="s">
        <v>271</v>
      </c>
      <c r="H426">
        <v>9952</v>
      </c>
      <c r="I426" t="s">
        <v>454</v>
      </c>
      <c r="J426" t="s">
        <v>455</v>
      </c>
      <c r="K426" t="s">
        <v>54</v>
      </c>
      <c r="L426">
        <v>2022</v>
      </c>
      <c r="M426">
        <v>0.33333333333333298</v>
      </c>
      <c r="N426">
        <v>0.33333333333333298</v>
      </c>
      <c r="O426">
        <v>0.5</v>
      </c>
      <c r="P426">
        <v>0</v>
      </c>
      <c r="Q426">
        <v>5</v>
      </c>
      <c r="R426">
        <v>3.8</v>
      </c>
      <c r="S426">
        <v>1.66</v>
      </c>
      <c r="T426">
        <v>5.25</v>
      </c>
      <c r="U426">
        <v>3.9</v>
      </c>
      <c r="V426">
        <v>1.63</v>
      </c>
      <c r="W426">
        <v>4.9000000000000004</v>
      </c>
      <c r="X426">
        <v>4</v>
      </c>
      <c r="Y426">
        <v>1.67</v>
      </c>
      <c r="Z426">
        <v>5.33</v>
      </c>
      <c r="AA426">
        <v>4.21</v>
      </c>
      <c r="AB426">
        <v>1.67</v>
      </c>
      <c r="AC426">
        <v>4.8</v>
      </c>
      <c r="AD426">
        <v>3.9</v>
      </c>
      <c r="AE426">
        <v>1.67</v>
      </c>
      <c r="AF426">
        <v>5</v>
      </c>
      <c r="AG426">
        <v>3.9</v>
      </c>
      <c r="AH426">
        <v>1.62</v>
      </c>
      <c r="AI426">
        <v>5.4</v>
      </c>
      <c r="AJ426">
        <v>4.24</v>
      </c>
      <c r="AK426">
        <v>1.74</v>
      </c>
      <c r="AL426">
        <v>5.07</v>
      </c>
      <c r="AM426">
        <v>4.05</v>
      </c>
      <c r="AN426">
        <v>1.67</v>
      </c>
      <c r="AO426">
        <v>1</v>
      </c>
      <c r="AP426">
        <v>0.185976163107266</v>
      </c>
      <c r="AQ426">
        <v>0.23685643414604601</v>
      </c>
      <c r="AR426">
        <v>0.57716740274668699</v>
      </c>
      <c r="AS426">
        <v>1</v>
      </c>
      <c r="AT426">
        <v>4.2712807792364398E-3</v>
      </c>
      <c r="AU426">
        <v>2.8767514125835199</v>
      </c>
      <c r="AV426">
        <f t="shared" si="35"/>
        <v>455786129796833.94</v>
      </c>
      <c r="AW426">
        <f t="shared" si="36"/>
        <v>84765355617125.5</v>
      </c>
      <c r="AX426">
        <f t="shared" si="37"/>
        <v>107955877436905.11</v>
      </c>
      <c r="AY426">
        <f t="shared" si="38"/>
        <v>263064896742803.34</v>
      </c>
      <c r="AZ426" cm="1">
        <f t="array" ref="AZ426">_xlfn.IFS(E426="H",AW426*AI426-AV426,E426="D",AX426*AJ426-AV426,E426="A",AY426*AK426-AV426)</f>
        <v>1946790535643.875</v>
      </c>
      <c r="BA426">
        <f t="shared" si="39"/>
        <v>45512994440479.039</v>
      </c>
    </row>
    <row r="427" spans="1:53" x14ac:dyDescent="0.2">
      <c r="A427">
        <v>26</v>
      </c>
      <c r="B427" t="s">
        <v>55</v>
      </c>
      <c r="C427" s="1">
        <v>44618</v>
      </c>
      <c r="D427" t="s">
        <v>68</v>
      </c>
      <c r="E427" t="s">
        <v>49</v>
      </c>
      <c r="F427" t="s">
        <v>291</v>
      </c>
      <c r="G427" t="s">
        <v>157</v>
      </c>
      <c r="H427">
        <v>48009</v>
      </c>
      <c r="I427" t="s">
        <v>292</v>
      </c>
      <c r="J427" t="s">
        <v>391</v>
      </c>
      <c r="K427" t="s">
        <v>54</v>
      </c>
      <c r="L427">
        <v>2022</v>
      </c>
      <c r="M427">
        <v>2.25</v>
      </c>
      <c r="N427">
        <v>2.25</v>
      </c>
      <c r="O427">
        <v>1.25</v>
      </c>
      <c r="P427">
        <v>1</v>
      </c>
      <c r="Q427">
        <v>1.61</v>
      </c>
      <c r="R427">
        <v>3.8</v>
      </c>
      <c r="S427">
        <v>6</v>
      </c>
      <c r="T427">
        <v>1.6</v>
      </c>
      <c r="U427">
        <v>3.8</v>
      </c>
      <c r="V427">
        <v>5.75</v>
      </c>
      <c r="W427">
        <v>1.6</v>
      </c>
      <c r="X427">
        <v>3.9</v>
      </c>
      <c r="Y427">
        <v>5.75</v>
      </c>
      <c r="Z427">
        <v>1.65</v>
      </c>
      <c r="AA427">
        <v>3.85</v>
      </c>
      <c r="AB427">
        <v>6.34</v>
      </c>
      <c r="AC427">
        <v>1.63</v>
      </c>
      <c r="AD427">
        <v>3.75</v>
      </c>
      <c r="AE427">
        <v>5.5</v>
      </c>
      <c r="AF427">
        <v>1.6</v>
      </c>
      <c r="AG427">
        <v>3.8</v>
      </c>
      <c r="AH427">
        <v>5.5</v>
      </c>
      <c r="AI427">
        <v>1.67</v>
      </c>
      <c r="AJ427">
        <v>4.0999999999999996</v>
      </c>
      <c r="AK427">
        <v>6.4</v>
      </c>
      <c r="AL427">
        <v>1.63</v>
      </c>
      <c r="AM427">
        <v>3.87</v>
      </c>
      <c r="AN427">
        <v>5.83</v>
      </c>
      <c r="AO427">
        <v>1</v>
      </c>
      <c r="AP427">
        <v>0.59942889777270103</v>
      </c>
      <c r="AQ427">
        <v>0.244157624214734</v>
      </c>
      <c r="AR427">
        <v>0.156413478012564</v>
      </c>
      <c r="AS427">
        <v>1</v>
      </c>
      <c r="AT427">
        <v>1.0462592804112399E-3</v>
      </c>
      <c r="AU427">
        <v>2.87779767186393</v>
      </c>
      <c r="AV427">
        <f t="shared" si="35"/>
        <v>501299124237313</v>
      </c>
      <c r="AW427">
        <f t="shared" si="36"/>
        <v>300493181495993</v>
      </c>
      <c r="AX427">
        <f t="shared" si="37"/>
        <v>122396003194709.36</v>
      </c>
      <c r="AY427">
        <f t="shared" si="38"/>
        <v>78409939546610.672</v>
      </c>
      <c r="AZ427" cm="1">
        <f t="array" ref="AZ427">_xlfn.IFS(E427="H",AW427*AI427-AV427,E427="D",AX427*AJ427-AV427,E427="A",AY427*AK427-AV427)</f>
        <v>524488860995.3125</v>
      </c>
      <c r="BA427">
        <f t="shared" si="39"/>
        <v>46037483301474.352</v>
      </c>
    </row>
    <row r="428" spans="1:53" x14ac:dyDescent="0.2">
      <c r="A428">
        <v>27</v>
      </c>
      <c r="B428" t="s">
        <v>67</v>
      </c>
      <c r="C428" s="1">
        <v>44619</v>
      </c>
      <c r="D428" t="s">
        <v>456</v>
      </c>
      <c r="E428" t="s">
        <v>74</v>
      </c>
      <c r="F428" t="s">
        <v>371</v>
      </c>
      <c r="G428" t="s">
        <v>108</v>
      </c>
      <c r="H428">
        <v>8107</v>
      </c>
      <c r="I428" t="s">
        <v>457</v>
      </c>
      <c r="J428" t="s">
        <v>189</v>
      </c>
      <c r="K428" t="s">
        <v>54</v>
      </c>
      <c r="L428">
        <v>2022</v>
      </c>
      <c r="M428">
        <v>1</v>
      </c>
      <c r="N428">
        <v>1</v>
      </c>
      <c r="O428">
        <v>1.3333333333333299</v>
      </c>
      <c r="P428">
        <v>2.3333333333333299</v>
      </c>
      <c r="Q428">
        <v>4.5</v>
      </c>
      <c r="R428">
        <v>3.6</v>
      </c>
      <c r="S428">
        <v>1.8</v>
      </c>
      <c r="T428">
        <v>4.5999999999999996</v>
      </c>
      <c r="U428">
        <v>3.6</v>
      </c>
      <c r="V428">
        <v>1.78</v>
      </c>
      <c r="W428">
        <v>4.4000000000000004</v>
      </c>
      <c r="X428">
        <v>3.8</v>
      </c>
      <c r="Y428">
        <v>1.77</v>
      </c>
      <c r="Z428">
        <v>4.8899999999999997</v>
      </c>
      <c r="AA428">
        <v>3.84</v>
      </c>
      <c r="AB428">
        <v>1.79</v>
      </c>
      <c r="AC428">
        <v>4.4000000000000004</v>
      </c>
      <c r="AD428">
        <v>3.6</v>
      </c>
      <c r="AE428">
        <v>1.8</v>
      </c>
      <c r="AF428">
        <v>4.8</v>
      </c>
      <c r="AG428">
        <v>3.6</v>
      </c>
      <c r="AH428">
        <v>1.75</v>
      </c>
      <c r="AI428">
        <v>4.9000000000000004</v>
      </c>
      <c r="AJ428">
        <v>4.04</v>
      </c>
      <c r="AK428">
        <v>1.85</v>
      </c>
      <c r="AL428">
        <v>4.5999999999999996</v>
      </c>
      <c r="AM428">
        <v>3.75</v>
      </c>
      <c r="AN428">
        <v>1.78</v>
      </c>
      <c r="AO428">
        <v>1</v>
      </c>
      <c r="AP428">
        <v>0.205696986376771</v>
      </c>
      <c r="AQ428">
        <v>0.24948396862529201</v>
      </c>
      <c r="AR428">
        <v>0.54481904499793499</v>
      </c>
      <c r="AS428">
        <v>1</v>
      </c>
      <c r="AT428">
        <v>7.9152332461813694E-3</v>
      </c>
      <c r="AU428">
        <v>2.8857129051101098</v>
      </c>
      <c r="AV428">
        <f t="shared" si="35"/>
        <v>547336607538787.38</v>
      </c>
      <c r="AW428">
        <f t="shared" si="36"/>
        <v>112585490704414.41</v>
      </c>
      <c r="AX428">
        <f t="shared" si="37"/>
        <v>136551709022680.81</v>
      </c>
      <c r="AY428">
        <f t="shared" si="38"/>
        <v>298199407811692.19</v>
      </c>
      <c r="AZ428" cm="1">
        <f t="array" ref="AZ428">_xlfn.IFS(E428="H",AW428*AI428-AV428,E428="D",AX428*AJ428-AV428,E428="A",AY428*AK428-AV428)</f>
        <v>4332296912843.1875</v>
      </c>
      <c r="BA428">
        <f t="shared" si="39"/>
        <v>50369780214317.539</v>
      </c>
    </row>
    <row r="429" spans="1:53" x14ac:dyDescent="0.2">
      <c r="A429">
        <v>27</v>
      </c>
      <c r="B429" t="s">
        <v>67</v>
      </c>
      <c r="C429" s="1">
        <v>44619</v>
      </c>
      <c r="D429" t="s">
        <v>458</v>
      </c>
      <c r="E429" t="s">
        <v>74</v>
      </c>
      <c r="F429" t="s">
        <v>184</v>
      </c>
      <c r="G429" t="s">
        <v>303</v>
      </c>
      <c r="H429">
        <v>25000</v>
      </c>
      <c r="I429" t="s">
        <v>110</v>
      </c>
      <c r="J429" t="s">
        <v>398</v>
      </c>
      <c r="K429" t="s">
        <v>54</v>
      </c>
      <c r="L429">
        <v>2022</v>
      </c>
      <c r="M429">
        <v>1.6666666666666601</v>
      </c>
      <c r="N429">
        <v>2</v>
      </c>
      <c r="O429">
        <v>2</v>
      </c>
      <c r="P429">
        <v>1.5</v>
      </c>
      <c r="Q429">
        <v>2.75</v>
      </c>
      <c r="R429">
        <v>3.4</v>
      </c>
      <c r="S429">
        <v>2.5</v>
      </c>
      <c r="T429">
        <v>2.95</v>
      </c>
      <c r="U429">
        <v>3.4</v>
      </c>
      <c r="V429">
        <v>2.35</v>
      </c>
      <c r="W429">
        <v>2.9</v>
      </c>
      <c r="X429">
        <v>3.3</v>
      </c>
      <c r="Y429">
        <v>2.5</v>
      </c>
      <c r="Z429">
        <v>2.9</v>
      </c>
      <c r="AA429">
        <v>3.51</v>
      </c>
      <c r="AB429">
        <v>2.5499999999999998</v>
      </c>
      <c r="AC429">
        <v>2.88</v>
      </c>
      <c r="AD429">
        <v>3.4</v>
      </c>
      <c r="AE429">
        <v>2.4</v>
      </c>
      <c r="AF429">
        <v>2.9</v>
      </c>
      <c r="AG429">
        <v>3.2</v>
      </c>
      <c r="AH429">
        <v>2.5</v>
      </c>
      <c r="AI429">
        <v>3.02</v>
      </c>
      <c r="AJ429">
        <v>3.68</v>
      </c>
      <c r="AK429">
        <v>2.5499999999999998</v>
      </c>
      <c r="AL429">
        <v>2.9</v>
      </c>
      <c r="AM429">
        <v>3.41</v>
      </c>
      <c r="AN429">
        <v>2.4700000000000002</v>
      </c>
      <c r="AO429">
        <v>1</v>
      </c>
      <c r="AP429">
        <v>0.33278247856276499</v>
      </c>
      <c r="AQ429">
        <v>0.27309866447270398</v>
      </c>
      <c r="AR429">
        <v>0.39411885696452997</v>
      </c>
      <c r="AS429">
        <v>1</v>
      </c>
      <c r="AT429">
        <v>5.0030852595519502E-3</v>
      </c>
      <c r="AU429">
        <v>2.89071599036967</v>
      </c>
      <c r="AV429">
        <f t="shared" si="35"/>
        <v>597706387753104.88</v>
      </c>
      <c r="AW429">
        <f t="shared" si="36"/>
        <v>198906213169275.66</v>
      </c>
      <c r="AX429">
        <f t="shared" si="37"/>
        <v>163232816242177.28</v>
      </c>
      <c r="AY429">
        <f t="shared" si="38"/>
        <v>235567358341651.97</v>
      </c>
      <c r="AZ429" cm="1">
        <f t="array" ref="AZ429">_xlfn.IFS(E429="H",AW429*AI429-AV429,E429="D",AX429*AJ429-AV429,E429="A",AY429*AK429-AV429)</f>
        <v>2990376018107.625</v>
      </c>
      <c r="BA429">
        <f t="shared" si="39"/>
        <v>53360156232425.164</v>
      </c>
    </row>
    <row r="430" spans="1:53" x14ac:dyDescent="0.2">
      <c r="A430">
        <v>27</v>
      </c>
      <c r="B430" t="s">
        <v>67</v>
      </c>
      <c r="C430" s="1">
        <v>44619</v>
      </c>
      <c r="D430" t="s">
        <v>125</v>
      </c>
      <c r="E430" t="s">
        <v>49</v>
      </c>
      <c r="F430" t="s">
        <v>126</v>
      </c>
      <c r="G430" t="s">
        <v>404</v>
      </c>
      <c r="H430">
        <v>59946</v>
      </c>
      <c r="I430" t="s">
        <v>128</v>
      </c>
      <c r="J430" t="s">
        <v>129</v>
      </c>
      <c r="K430" t="s">
        <v>54</v>
      </c>
      <c r="L430">
        <v>2022</v>
      </c>
      <c r="M430">
        <v>1.75</v>
      </c>
      <c r="N430">
        <v>1.5</v>
      </c>
      <c r="O430">
        <v>2.25</v>
      </c>
      <c r="P430">
        <v>1.5</v>
      </c>
      <c r="Q430">
        <v>2.0499999999999998</v>
      </c>
      <c r="R430">
        <v>3.3</v>
      </c>
      <c r="S430">
        <v>3.8</v>
      </c>
      <c r="T430">
        <v>2.0499999999999998</v>
      </c>
      <c r="U430">
        <v>3.2</v>
      </c>
      <c r="V430">
        <v>3.8</v>
      </c>
      <c r="W430">
        <v>2.1</v>
      </c>
      <c r="X430">
        <v>3.25</v>
      </c>
      <c r="Y430">
        <v>3.7</v>
      </c>
      <c r="Z430">
        <v>2.15</v>
      </c>
      <c r="AA430">
        <v>3.23</v>
      </c>
      <c r="AB430">
        <v>4.03</v>
      </c>
      <c r="AC430">
        <v>2.0499999999999998</v>
      </c>
      <c r="AD430">
        <v>3.1</v>
      </c>
      <c r="AE430">
        <v>4</v>
      </c>
      <c r="AF430">
        <v>2.0499999999999998</v>
      </c>
      <c r="AG430">
        <v>3.13</v>
      </c>
      <c r="AH430">
        <v>3.8</v>
      </c>
      <c r="AI430">
        <v>2.2000000000000002</v>
      </c>
      <c r="AJ430">
        <v>3.35</v>
      </c>
      <c r="AK430">
        <v>4.28</v>
      </c>
      <c r="AL430">
        <v>2.11</v>
      </c>
      <c r="AM430">
        <v>3.24</v>
      </c>
      <c r="AN430">
        <v>3.89</v>
      </c>
      <c r="AO430">
        <v>1</v>
      </c>
      <c r="AP430">
        <v>0.460673435291093</v>
      </c>
      <c r="AQ430">
        <v>0.30253180825086701</v>
      </c>
      <c r="AR430">
        <v>0.23679475645803799</v>
      </c>
      <c r="AS430">
        <v>1</v>
      </c>
      <c r="AT430">
        <v>1.34815576404061E-2</v>
      </c>
      <c r="AU430">
        <v>2.9041975480100701</v>
      </c>
      <c r="AV430">
        <f t="shared" si="35"/>
        <v>651066543985530</v>
      </c>
      <c r="AW430">
        <f t="shared" si="36"/>
        <v>299929061420914.06</v>
      </c>
      <c r="AX430">
        <f t="shared" si="37"/>
        <v>196968338843585.38</v>
      </c>
      <c r="AY430">
        <f t="shared" si="38"/>
        <v>154169143721030.59</v>
      </c>
      <c r="AZ430" cm="1">
        <f t="array" ref="AZ430">_xlfn.IFS(E430="H",AW430*AI430-AV430,E430="D",AX430*AJ430-AV430,E430="A",AY430*AK430-AV430)</f>
        <v>8777391140481</v>
      </c>
      <c r="BA430">
        <f t="shared" si="39"/>
        <v>62137547372906.164</v>
      </c>
    </row>
    <row r="431" spans="1:53" x14ac:dyDescent="0.2">
      <c r="A431">
        <v>27</v>
      </c>
      <c r="B431" t="s">
        <v>47</v>
      </c>
      <c r="C431" s="1">
        <v>44624</v>
      </c>
      <c r="D431" t="s">
        <v>68</v>
      </c>
      <c r="E431" t="s">
        <v>57</v>
      </c>
      <c r="F431" t="s">
        <v>286</v>
      </c>
      <c r="G431" t="s">
        <v>161</v>
      </c>
      <c r="H431">
        <v>13121</v>
      </c>
      <c r="I431" t="s">
        <v>288</v>
      </c>
      <c r="J431" t="s">
        <v>168</v>
      </c>
      <c r="K431" t="s">
        <v>54</v>
      </c>
      <c r="L431">
        <v>2022</v>
      </c>
      <c r="M431">
        <v>1.25</v>
      </c>
      <c r="N431">
        <v>0.75</v>
      </c>
      <c r="O431">
        <v>1.5</v>
      </c>
      <c r="P431">
        <v>0.75</v>
      </c>
      <c r="Q431">
        <v>4.5</v>
      </c>
      <c r="R431">
        <v>3.1</v>
      </c>
      <c r="S431">
        <v>1.95</v>
      </c>
      <c r="T431">
        <v>4.5999999999999996</v>
      </c>
      <c r="U431">
        <v>2.9</v>
      </c>
      <c r="V431">
        <v>2</v>
      </c>
      <c r="W431">
        <v>4.3</v>
      </c>
      <c r="X431">
        <v>3.15</v>
      </c>
      <c r="Y431">
        <v>2</v>
      </c>
      <c r="Z431">
        <v>4.74</v>
      </c>
      <c r="AA431">
        <v>3.14</v>
      </c>
      <c r="AB431">
        <v>2.02</v>
      </c>
      <c r="AC431">
        <v>4.33</v>
      </c>
      <c r="AD431">
        <v>3.1</v>
      </c>
      <c r="AE431">
        <v>2</v>
      </c>
      <c r="AF431">
        <v>4.4000000000000004</v>
      </c>
      <c r="AG431">
        <v>3.13</v>
      </c>
      <c r="AH431">
        <v>2</v>
      </c>
      <c r="AI431">
        <v>4.8</v>
      </c>
      <c r="AJ431">
        <v>3.3</v>
      </c>
      <c r="AK431">
        <v>2.0499999999999998</v>
      </c>
      <c r="AL431">
        <v>4.4800000000000004</v>
      </c>
      <c r="AM431">
        <v>3.13</v>
      </c>
      <c r="AN431">
        <v>2.0099999999999998</v>
      </c>
      <c r="AO431">
        <v>1</v>
      </c>
      <c r="AP431">
        <v>0.20850670365233401</v>
      </c>
      <c r="AQ431">
        <v>0.303282478039759</v>
      </c>
      <c r="AR431">
        <v>0.48821081830790503</v>
      </c>
      <c r="AS431">
        <v>1</v>
      </c>
      <c r="AT431" s="2">
        <v>8.3217753120656802E-4</v>
      </c>
      <c r="AU431">
        <v>2.9050297255412798</v>
      </c>
      <c r="AV431">
        <f t="shared" si="35"/>
        <v>713204091358436.12</v>
      </c>
      <c r="AW431">
        <f t="shared" si="36"/>
        <v>148707834120506.06</v>
      </c>
      <c r="AX431">
        <f t="shared" si="37"/>
        <v>216302304175281.59</v>
      </c>
      <c r="AY431">
        <f t="shared" si="38"/>
        <v>348193953062648.44</v>
      </c>
      <c r="AZ431" cm="1">
        <f t="array" ref="AZ431">_xlfn.IFS(E431="H",AW431*AI431-AV431,E431="D",AX431*AJ431-AV431,E431="A",AY431*AK431-AV431)</f>
        <v>593512419993.125</v>
      </c>
      <c r="BA431">
        <f t="shared" si="39"/>
        <v>62731059792899.289</v>
      </c>
    </row>
    <row r="432" spans="1:53" x14ac:dyDescent="0.2">
      <c r="A432">
        <v>28</v>
      </c>
      <c r="B432" t="s">
        <v>55</v>
      </c>
      <c r="C432" s="1">
        <v>44625</v>
      </c>
      <c r="D432" t="s">
        <v>90</v>
      </c>
      <c r="E432" t="s">
        <v>49</v>
      </c>
      <c r="F432" t="s">
        <v>248</v>
      </c>
      <c r="G432" t="s">
        <v>284</v>
      </c>
      <c r="H432">
        <v>52214</v>
      </c>
      <c r="I432" t="s">
        <v>250</v>
      </c>
      <c r="J432" t="s">
        <v>233</v>
      </c>
      <c r="K432" t="s">
        <v>54</v>
      </c>
      <c r="L432">
        <v>2022</v>
      </c>
      <c r="M432">
        <v>2.3333333333333299</v>
      </c>
      <c r="N432">
        <v>1.6666666666666601</v>
      </c>
      <c r="O432">
        <v>1.75</v>
      </c>
      <c r="P432">
        <v>1.5</v>
      </c>
      <c r="Q432">
        <v>2.75</v>
      </c>
      <c r="R432">
        <v>3.2</v>
      </c>
      <c r="S432">
        <v>2.62</v>
      </c>
      <c r="T432">
        <v>2.65</v>
      </c>
      <c r="U432">
        <v>3.25</v>
      </c>
      <c r="V432">
        <v>2.65</v>
      </c>
      <c r="W432">
        <v>2.75</v>
      </c>
      <c r="X432">
        <v>3.1</v>
      </c>
      <c r="Y432">
        <v>2.75</v>
      </c>
      <c r="Z432">
        <v>2.82</v>
      </c>
      <c r="AA432">
        <v>3.23</v>
      </c>
      <c r="AB432">
        <v>2.8</v>
      </c>
      <c r="AC432">
        <v>2.62</v>
      </c>
      <c r="AD432">
        <v>3.2</v>
      </c>
      <c r="AE432">
        <v>2.7</v>
      </c>
      <c r="AF432">
        <v>2.7</v>
      </c>
      <c r="AG432">
        <v>3</v>
      </c>
      <c r="AH432">
        <v>2.7</v>
      </c>
      <c r="AI432">
        <v>2.88</v>
      </c>
      <c r="AJ432">
        <v>3.36</v>
      </c>
      <c r="AK432">
        <v>2.82</v>
      </c>
      <c r="AL432">
        <v>2.77</v>
      </c>
      <c r="AM432">
        <v>3.19</v>
      </c>
      <c r="AN432">
        <v>2.74</v>
      </c>
      <c r="AO432">
        <v>1</v>
      </c>
      <c r="AP432">
        <v>0.34741288278775001</v>
      </c>
      <c r="AQ432">
        <v>0.29778247096092902</v>
      </c>
      <c r="AR432">
        <v>0.35480464625131902</v>
      </c>
      <c r="AS432">
        <v>1</v>
      </c>
      <c r="AT432" s="2">
        <v>5.4910242872230298E-4</v>
      </c>
      <c r="AU432">
        <v>2.9055788279699999</v>
      </c>
      <c r="AV432">
        <f t="shared" si="35"/>
        <v>775935151151335.38</v>
      </c>
      <c r="AW432">
        <f t="shared" si="36"/>
        <v>269569867717834.56</v>
      </c>
      <c r="AX432">
        <f t="shared" si="37"/>
        <v>231059886615286.75</v>
      </c>
      <c r="AY432">
        <f t="shared" si="38"/>
        <v>275305396818214.03</v>
      </c>
      <c r="AZ432" cm="1">
        <f t="array" ref="AZ432">_xlfn.IFS(E432="H",AW432*AI432-AV432,E432="D",AX432*AJ432-AV432,E432="A",AY432*AK432-AV432)</f>
        <v>426067876028.125</v>
      </c>
      <c r="BA432">
        <f t="shared" si="39"/>
        <v>63157127668927.414</v>
      </c>
    </row>
    <row r="433" spans="1:53" x14ac:dyDescent="0.2">
      <c r="A433">
        <v>27</v>
      </c>
      <c r="B433" t="s">
        <v>55</v>
      </c>
      <c r="C433" s="1">
        <v>44625</v>
      </c>
      <c r="D433" t="s">
        <v>378</v>
      </c>
      <c r="E433" t="s">
        <v>49</v>
      </c>
      <c r="F433" t="s">
        <v>114</v>
      </c>
      <c r="G433" t="s">
        <v>162</v>
      </c>
      <c r="H433">
        <v>18519</v>
      </c>
      <c r="I433" t="s">
        <v>449</v>
      </c>
      <c r="J433" t="s">
        <v>267</v>
      </c>
      <c r="K433" t="s">
        <v>54</v>
      </c>
      <c r="L433">
        <v>2022</v>
      </c>
      <c r="M433">
        <v>0.5</v>
      </c>
      <c r="N433">
        <v>1.25</v>
      </c>
      <c r="O433">
        <v>0.5</v>
      </c>
      <c r="P433">
        <v>1</v>
      </c>
      <c r="Q433">
        <v>2.15</v>
      </c>
      <c r="R433">
        <v>3</v>
      </c>
      <c r="S433">
        <v>3.6</v>
      </c>
      <c r="T433">
        <v>2.1</v>
      </c>
      <c r="U433">
        <v>3.2</v>
      </c>
      <c r="V433">
        <v>3.7</v>
      </c>
      <c r="W433">
        <v>2.25</v>
      </c>
      <c r="X433">
        <v>3.05</v>
      </c>
      <c r="Y433">
        <v>3.6</v>
      </c>
      <c r="Z433">
        <v>2.31</v>
      </c>
      <c r="AA433">
        <v>3.09</v>
      </c>
      <c r="AB433">
        <v>3.75</v>
      </c>
      <c r="AC433">
        <v>2.25</v>
      </c>
      <c r="AD433">
        <v>3</v>
      </c>
      <c r="AE433">
        <v>3.6</v>
      </c>
      <c r="AF433">
        <v>2.2000000000000002</v>
      </c>
      <c r="AG433">
        <v>3</v>
      </c>
      <c r="AH433">
        <v>3.5</v>
      </c>
      <c r="AI433">
        <v>2.33</v>
      </c>
      <c r="AJ433">
        <v>3.2</v>
      </c>
      <c r="AK433">
        <v>3.88</v>
      </c>
      <c r="AL433">
        <v>2.2400000000000002</v>
      </c>
      <c r="AM433">
        <v>3.09</v>
      </c>
      <c r="AN433">
        <v>3.66</v>
      </c>
      <c r="AO433">
        <v>1</v>
      </c>
      <c r="AP433">
        <v>0.429435121262849</v>
      </c>
      <c r="AQ433">
        <v>0.31268244766951198</v>
      </c>
      <c r="AR433">
        <v>0.25788243106763797</v>
      </c>
      <c r="AS433">
        <v>1</v>
      </c>
      <c r="AT433" s="2">
        <v>5.8383254243854401E-4</v>
      </c>
      <c r="AU433">
        <v>2.90616266051244</v>
      </c>
      <c r="AV433">
        <f t="shared" si="35"/>
        <v>839092278820262.75</v>
      </c>
      <c r="AW433">
        <f t="shared" si="36"/>
        <v>360335694505900</v>
      </c>
      <c r="AX433">
        <f t="shared" si="37"/>
        <v>262369427562108.38</v>
      </c>
      <c r="AY433">
        <f t="shared" si="38"/>
        <v>216387156752254.38</v>
      </c>
      <c r="AZ433" cm="1">
        <f t="array" ref="AZ433">_xlfn.IFS(E433="H",AW433*AI433-AV433,E433="D",AX433*AJ433-AV433,E433="A",AY433*AK433-AV433)</f>
        <v>489889378484.25</v>
      </c>
      <c r="BA433">
        <f t="shared" si="39"/>
        <v>63647017047411.664</v>
      </c>
    </row>
    <row r="434" spans="1:53" x14ac:dyDescent="0.2">
      <c r="A434">
        <v>27</v>
      </c>
      <c r="B434" t="s">
        <v>55</v>
      </c>
      <c r="C434" s="1">
        <v>44625</v>
      </c>
      <c r="D434" t="s">
        <v>68</v>
      </c>
      <c r="E434" t="s">
        <v>49</v>
      </c>
      <c r="F434" t="s">
        <v>271</v>
      </c>
      <c r="G434" t="s">
        <v>158</v>
      </c>
      <c r="H434">
        <v>52410</v>
      </c>
      <c r="I434" t="s">
        <v>444</v>
      </c>
      <c r="J434" t="s">
        <v>302</v>
      </c>
      <c r="K434" t="s">
        <v>54</v>
      </c>
      <c r="L434">
        <v>2022</v>
      </c>
      <c r="M434">
        <v>2.5</v>
      </c>
      <c r="N434">
        <v>2.5</v>
      </c>
      <c r="O434">
        <v>1.25</v>
      </c>
      <c r="P434">
        <v>0.75</v>
      </c>
      <c r="Q434">
        <v>1.6</v>
      </c>
      <c r="R434">
        <v>4.2</v>
      </c>
      <c r="S434">
        <v>5.25</v>
      </c>
      <c r="T434">
        <v>1.61</v>
      </c>
      <c r="U434">
        <v>4.0999999999999996</v>
      </c>
      <c r="V434">
        <v>5.25</v>
      </c>
      <c r="W434">
        <v>1.63</v>
      </c>
      <c r="X434">
        <v>4.0999999999999996</v>
      </c>
      <c r="Y434">
        <v>5.25</v>
      </c>
      <c r="Z434">
        <v>1.64</v>
      </c>
      <c r="AA434">
        <v>4.21</v>
      </c>
      <c r="AB434">
        <v>5.65</v>
      </c>
      <c r="AC434">
        <v>1.6</v>
      </c>
      <c r="AD434">
        <v>4</v>
      </c>
      <c r="AE434">
        <v>5.5</v>
      </c>
      <c r="AF434">
        <v>1.57</v>
      </c>
      <c r="AG434">
        <v>4</v>
      </c>
      <c r="AH434">
        <v>5.25</v>
      </c>
      <c r="AI434">
        <v>1.65</v>
      </c>
      <c r="AJ434">
        <v>4.55</v>
      </c>
      <c r="AK434">
        <v>5.8</v>
      </c>
      <c r="AL434">
        <v>1.62</v>
      </c>
      <c r="AM434">
        <v>4.13</v>
      </c>
      <c r="AN434">
        <v>5.42</v>
      </c>
      <c r="AO434">
        <v>1</v>
      </c>
      <c r="AP434">
        <v>0.60712026226491</v>
      </c>
      <c r="AQ434">
        <v>0.220164490711451</v>
      </c>
      <c r="AR434">
        <v>0.172715247023638</v>
      </c>
      <c r="AS434">
        <v>1</v>
      </c>
      <c r="AT434">
        <v>1.7484327371024501E-3</v>
      </c>
      <c r="AU434">
        <v>2.90791109324954</v>
      </c>
      <c r="AV434">
        <f t="shared" si="35"/>
        <v>902739295867674.38</v>
      </c>
      <c r="AW434">
        <f t="shared" si="36"/>
        <v>548071318064023.12</v>
      </c>
      <c r="AX434">
        <f t="shared" si="37"/>
        <v>198751137319920.47</v>
      </c>
      <c r="AY434">
        <f t="shared" si="38"/>
        <v>155916840483730.72</v>
      </c>
      <c r="AZ434" cm="1">
        <f t="array" ref="AZ434">_xlfn.IFS(E434="H",AW434*AI434-AV434,E434="D",AX434*AJ434-AV434,E434="A",AY434*AK434-AV434)</f>
        <v>1578378937963.75</v>
      </c>
      <c r="BA434">
        <f t="shared" si="39"/>
        <v>65225395985375.414</v>
      </c>
    </row>
    <row r="435" spans="1:53" x14ac:dyDescent="0.2">
      <c r="A435">
        <v>27</v>
      </c>
      <c r="B435" t="s">
        <v>55</v>
      </c>
      <c r="C435" s="1">
        <v>44625</v>
      </c>
      <c r="D435" t="s">
        <v>82</v>
      </c>
      <c r="E435" t="s">
        <v>74</v>
      </c>
      <c r="F435" t="s">
        <v>337</v>
      </c>
      <c r="G435" t="s">
        <v>96</v>
      </c>
      <c r="H435">
        <v>36305</v>
      </c>
      <c r="I435" t="s">
        <v>338</v>
      </c>
      <c r="J435" t="s">
        <v>415</v>
      </c>
      <c r="K435" t="s">
        <v>54</v>
      </c>
      <c r="L435">
        <v>2022</v>
      </c>
      <c r="M435">
        <v>1.75</v>
      </c>
      <c r="N435">
        <v>1.25</v>
      </c>
      <c r="O435">
        <v>0.33333333333333298</v>
      </c>
      <c r="P435">
        <v>0.33333333333333298</v>
      </c>
      <c r="Q435">
        <v>1.66</v>
      </c>
      <c r="R435">
        <v>3.6</v>
      </c>
      <c r="S435">
        <v>5</v>
      </c>
      <c r="T435">
        <v>1.71</v>
      </c>
      <c r="U435">
        <v>3.7</v>
      </c>
      <c r="V435">
        <v>5</v>
      </c>
      <c r="W435">
        <v>1.7</v>
      </c>
      <c r="X435">
        <v>3.95</v>
      </c>
      <c r="Y435">
        <v>4.7</v>
      </c>
      <c r="Z435">
        <v>1.72</v>
      </c>
      <c r="AA435">
        <v>3.98</v>
      </c>
      <c r="AB435">
        <v>5.23</v>
      </c>
      <c r="AC435">
        <v>1.7</v>
      </c>
      <c r="AD435">
        <v>3.8</v>
      </c>
      <c r="AE435">
        <v>4.75</v>
      </c>
      <c r="AF435">
        <v>1.67</v>
      </c>
      <c r="AG435">
        <v>3.8</v>
      </c>
      <c r="AH435">
        <v>5</v>
      </c>
      <c r="AI435">
        <v>1.87</v>
      </c>
      <c r="AJ435">
        <v>4.18</v>
      </c>
      <c r="AK435">
        <v>5.3</v>
      </c>
      <c r="AL435">
        <v>1.71</v>
      </c>
      <c r="AM435">
        <v>3.89</v>
      </c>
      <c r="AN435">
        <v>4.84</v>
      </c>
      <c r="AO435">
        <v>1</v>
      </c>
      <c r="AP435">
        <v>0.555494263018534</v>
      </c>
      <c r="AQ435">
        <v>0.24851059135039699</v>
      </c>
      <c r="AR435">
        <v>0.19599514563106701</v>
      </c>
      <c r="AS435">
        <v>1</v>
      </c>
      <c r="AT435">
        <v>3.8774271844660202E-2</v>
      </c>
      <c r="AU435">
        <v>2.9466853650942002</v>
      </c>
      <c r="AV435">
        <f t="shared" si="35"/>
        <v>967964691853049.75</v>
      </c>
      <c r="AW435">
        <f t="shared" si="36"/>
        <v>537698833128873.06</v>
      </c>
      <c r="AX435">
        <f t="shared" si="37"/>
        <v>240549477978706.41</v>
      </c>
      <c r="AY435">
        <f t="shared" si="38"/>
        <v>189716380745470.31</v>
      </c>
      <c r="AZ435" cm="1">
        <f t="array" ref="AZ435">_xlfn.IFS(E435="H",AW435*AI435-AV435,E435="D",AX435*AJ435-AV435,E435="A",AY435*AK435-AV435)</f>
        <v>37532126097942.875</v>
      </c>
      <c r="BA435">
        <f t="shared" si="39"/>
        <v>102757522083318.28</v>
      </c>
    </row>
    <row r="436" spans="1:53" x14ac:dyDescent="0.2">
      <c r="A436">
        <v>25</v>
      </c>
      <c r="B436" t="s">
        <v>67</v>
      </c>
      <c r="C436" s="1">
        <v>44626</v>
      </c>
      <c r="D436" t="s">
        <v>56</v>
      </c>
      <c r="E436" t="s">
        <v>74</v>
      </c>
      <c r="F436" t="s">
        <v>223</v>
      </c>
      <c r="G436" t="s">
        <v>138</v>
      </c>
      <c r="H436">
        <v>37500</v>
      </c>
      <c r="I436" t="s">
        <v>224</v>
      </c>
      <c r="J436" t="s">
        <v>258</v>
      </c>
      <c r="K436" t="s">
        <v>54</v>
      </c>
      <c r="L436">
        <v>2022</v>
      </c>
      <c r="M436">
        <v>2</v>
      </c>
      <c r="N436">
        <v>0.66666666666666596</v>
      </c>
      <c r="O436">
        <v>1</v>
      </c>
      <c r="P436">
        <v>1</v>
      </c>
      <c r="Q436">
        <v>2.62</v>
      </c>
      <c r="R436">
        <v>3.6</v>
      </c>
      <c r="S436">
        <v>2.5499999999999998</v>
      </c>
      <c r="T436">
        <v>2.8</v>
      </c>
      <c r="U436">
        <v>3.4</v>
      </c>
      <c r="V436">
        <v>2.4500000000000002</v>
      </c>
      <c r="W436">
        <v>2.6</v>
      </c>
      <c r="X436">
        <v>3.6</v>
      </c>
      <c r="Y436">
        <v>2.5499999999999998</v>
      </c>
      <c r="Z436">
        <v>2.75</v>
      </c>
      <c r="AA436">
        <v>3.56</v>
      </c>
      <c r="AB436">
        <v>2.65</v>
      </c>
      <c r="AC436">
        <v>2.75</v>
      </c>
      <c r="AD436">
        <v>3.4</v>
      </c>
      <c r="AE436">
        <v>2.5</v>
      </c>
      <c r="AF436">
        <v>2.6</v>
      </c>
      <c r="AG436">
        <v>3.6</v>
      </c>
      <c r="AH436">
        <v>2.5</v>
      </c>
      <c r="AI436">
        <v>2.81</v>
      </c>
      <c r="AJ436">
        <v>3.7</v>
      </c>
      <c r="AK436">
        <v>2.69</v>
      </c>
      <c r="AL436">
        <v>2.7</v>
      </c>
      <c r="AM436">
        <v>3.52</v>
      </c>
      <c r="AN436">
        <v>2.57</v>
      </c>
      <c r="AO436">
        <v>1</v>
      </c>
      <c r="AP436">
        <v>0.35662458928872098</v>
      </c>
      <c r="AQ436">
        <v>0.27084191781116401</v>
      </c>
      <c r="AR436">
        <v>0.372533492900114</v>
      </c>
      <c r="AS436">
        <v>1</v>
      </c>
      <c r="AT436">
        <v>2.1150959013074202E-3</v>
      </c>
      <c r="AU436">
        <v>2.9488004609955101</v>
      </c>
      <c r="AV436">
        <f t="shared" si="35"/>
        <v>1070722213936368</v>
      </c>
      <c r="AW436">
        <f t="shared" si="36"/>
        <v>381845869787367.81</v>
      </c>
      <c r="AX436">
        <f t="shared" si="37"/>
        <v>289996457865541.5</v>
      </c>
      <c r="AY436">
        <f t="shared" si="38"/>
        <v>398879886283458.62</v>
      </c>
      <c r="AZ436" cm="1">
        <f t="array" ref="AZ436">_xlfn.IFS(E436="H",AW436*AI436-AV436,E436="D",AX436*AJ436-AV436,E436="A",AY436*AK436-AV436)</f>
        <v>2264680166135.625</v>
      </c>
      <c r="BA436">
        <f t="shared" si="39"/>
        <v>105022202249453.91</v>
      </c>
    </row>
    <row r="437" spans="1:53" x14ac:dyDescent="0.2">
      <c r="A437">
        <v>28</v>
      </c>
      <c r="B437" t="s">
        <v>67</v>
      </c>
      <c r="C437" s="1">
        <v>44626</v>
      </c>
      <c r="D437" t="s">
        <v>121</v>
      </c>
      <c r="E437" t="s">
        <v>57</v>
      </c>
      <c r="F437" t="s">
        <v>274</v>
      </c>
      <c r="G437" t="s">
        <v>438</v>
      </c>
      <c r="H437">
        <v>14935</v>
      </c>
      <c r="I437" t="s">
        <v>275</v>
      </c>
      <c r="J437" t="s">
        <v>373</v>
      </c>
      <c r="K437" t="s">
        <v>54</v>
      </c>
      <c r="L437">
        <v>2022</v>
      </c>
      <c r="M437">
        <v>0.75</v>
      </c>
      <c r="N437">
        <v>0.25</v>
      </c>
      <c r="O437">
        <v>0.75</v>
      </c>
      <c r="P437">
        <v>1</v>
      </c>
      <c r="Q437">
        <v>2.5</v>
      </c>
      <c r="R437">
        <v>3.2</v>
      </c>
      <c r="S437">
        <v>2.87</v>
      </c>
      <c r="T437">
        <v>2.5</v>
      </c>
      <c r="U437">
        <v>3.3</v>
      </c>
      <c r="V437">
        <v>2.8</v>
      </c>
      <c r="W437">
        <v>2.5</v>
      </c>
      <c r="X437">
        <v>3.4</v>
      </c>
      <c r="Y437">
        <v>2.8</v>
      </c>
      <c r="Z437">
        <v>2.56</v>
      </c>
      <c r="AA437">
        <v>3.52</v>
      </c>
      <c r="AB437">
        <v>2.88</v>
      </c>
      <c r="AC437">
        <v>2.5</v>
      </c>
      <c r="AD437">
        <v>3.3</v>
      </c>
      <c r="AE437">
        <v>2.8</v>
      </c>
      <c r="AF437">
        <v>2.5</v>
      </c>
      <c r="AG437">
        <v>3.25</v>
      </c>
      <c r="AH437">
        <v>2.88</v>
      </c>
      <c r="AI437">
        <v>2.65</v>
      </c>
      <c r="AJ437">
        <v>3.58</v>
      </c>
      <c r="AK437">
        <v>2.99</v>
      </c>
      <c r="AL437">
        <v>2.52</v>
      </c>
      <c r="AM437">
        <v>3.4</v>
      </c>
      <c r="AN437">
        <v>2.84</v>
      </c>
      <c r="AO437">
        <v>1</v>
      </c>
      <c r="AP437">
        <v>0.38073321074028799</v>
      </c>
      <c r="AQ437">
        <v>0.281827655994906</v>
      </c>
      <c r="AR437">
        <v>0.33743913326480401</v>
      </c>
      <c r="AS437">
        <v>0.999999999999999</v>
      </c>
      <c r="AT437">
        <v>8.9430084617656506E-3</v>
      </c>
      <c r="AU437">
        <v>2.95774346945728</v>
      </c>
      <c r="AV437">
        <f t="shared" si="35"/>
        <v>1175744416185822</v>
      </c>
      <c r="AW437">
        <f t="shared" si="36"/>
        <v>447644946584394.5</v>
      </c>
      <c r="AX437">
        <f t="shared" si="37"/>
        <v>331357292862750.12</v>
      </c>
      <c r="AY437">
        <f t="shared" si="38"/>
        <v>396742176738677.31</v>
      </c>
      <c r="AZ437" cm="1">
        <f t="array" ref="AZ437">_xlfn.IFS(E437="H",AW437*AI437-AV437,E437="D",AX437*AJ437-AV437,E437="A",AY437*AK437-AV437)</f>
        <v>10514692262823.5</v>
      </c>
      <c r="BA437">
        <f t="shared" si="39"/>
        <v>115536894512277.41</v>
      </c>
    </row>
    <row r="438" spans="1:53" x14ac:dyDescent="0.2">
      <c r="A438">
        <v>28</v>
      </c>
      <c r="B438" t="s">
        <v>67</v>
      </c>
      <c r="C438" s="1">
        <v>44626</v>
      </c>
      <c r="D438" t="s">
        <v>183</v>
      </c>
      <c r="E438" t="s">
        <v>57</v>
      </c>
      <c r="F438" t="s">
        <v>181</v>
      </c>
      <c r="G438" t="s">
        <v>142</v>
      </c>
      <c r="H438">
        <v>23491</v>
      </c>
      <c r="I438" t="s">
        <v>344</v>
      </c>
      <c r="J438" t="s">
        <v>186</v>
      </c>
      <c r="K438" t="s">
        <v>54</v>
      </c>
      <c r="L438">
        <v>2022</v>
      </c>
      <c r="M438">
        <v>2</v>
      </c>
      <c r="N438">
        <v>2.3333333333333299</v>
      </c>
      <c r="O438">
        <v>1.75</v>
      </c>
      <c r="P438">
        <v>2</v>
      </c>
      <c r="Q438">
        <v>1.95</v>
      </c>
      <c r="R438">
        <v>3.5</v>
      </c>
      <c r="S438">
        <v>3.6</v>
      </c>
      <c r="T438">
        <v>1.95</v>
      </c>
      <c r="U438">
        <v>3.4</v>
      </c>
      <c r="V438">
        <v>3.9</v>
      </c>
      <c r="W438">
        <v>2</v>
      </c>
      <c r="X438">
        <v>3.7</v>
      </c>
      <c r="Y438">
        <v>3.6</v>
      </c>
      <c r="Z438">
        <v>2.0299999999999998</v>
      </c>
      <c r="AA438">
        <v>3.62</v>
      </c>
      <c r="AB438">
        <v>3.93</v>
      </c>
      <c r="AC438">
        <v>2</v>
      </c>
      <c r="AD438">
        <v>3.5</v>
      </c>
      <c r="AE438">
        <v>3.6</v>
      </c>
      <c r="AF438">
        <v>2</v>
      </c>
      <c r="AG438">
        <v>3.5</v>
      </c>
      <c r="AH438">
        <v>3.7</v>
      </c>
      <c r="AI438">
        <v>2.0499999999999998</v>
      </c>
      <c r="AJ438">
        <v>3.8</v>
      </c>
      <c r="AK438">
        <v>4.0999999999999996</v>
      </c>
      <c r="AL438">
        <v>2</v>
      </c>
      <c r="AM438">
        <v>3.59</v>
      </c>
      <c r="AN438">
        <v>3.76</v>
      </c>
      <c r="AO438">
        <v>1</v>
      </c>
      <c r="AP438">
        <v>0.49032258064516099</v>
      </c>
      <c r="AQ438">
        <v>0.26451612903225802</v>
      </c>
      <c r="AR438">
        <v>0.24516129032257999</v>
      </c>
      <c r="AS438">
        <v>0.999999999999999</v>
      </c>
      <c r="AT438">
        <v>5.1612903225806096E-3</v>
      </c>
      <c r="AU438">
        <v>2.9629047597798599</v>
      </c>
      <c r="AV438">
        <f t="shared" si="35"/>
        <v>1291281310698099.5</v>
      </c>
      <c r="AW438">
        <f t="shared" si="36"/>
        <v>633144384600358.38</v>
      </c>
      <c r="AX438">
        <f t="shared" si="37"/>
        <v>341564733797561.81</v>
      </c>
      <c r="AY438">
        <f t="shared" si="38"/>
        <v>316572192300179.19</v>
      </c>
      <c r="AZ438" cm="1">
        <f t="array" ref="AZ438">_xlfn.IFS(E438="H",AW438*AI438-AV438,E438="D",AX438*AJ438-AV438,E438="A",AY438*AK438-AV438)</f>
        <v>6664677732635.25</v>
      </c>
      <c r="BA438">
        <f t="shared" si="39"/>
        <v>122201572244912.66</v>
      </c>
    </row>
    <row r="439" spans="1:53" x14ac:dyDescent="0.2">
      <c r="A439">
        <v>27</v>
      </c>
      <c r="B439" t="s">
        <v>67</v>
      </c>
      <c r="C439" s="1">
        <v>44626</v>
      </c>
      <c r="D439" t="s">
        <v>329</v>
      </c>
      <c r="E439" t="s">
        <v>49</v>
      </c>
      <c r="F439" t="s">
        <v>217</v>
      </c>
      <c r="G439" t="s">
        <v>79</v>
      </c>
      <c r="H439">
        <v>35706</v>
      </c>
      <c r="I439" t="s">
        <v>425</v>
      </c>
      <c r="J439" t="s">
        <v>437</v>
      </c>
      <c r="K439" t="s">
        <v>54</v>
      </c>
      <c r="L439">
        <v>2022</v>
      </c>
      <c r="M439">
        <v>1.3333333333333299</v>
      </c>
      <c r="N439">
        <v>2</v>
      </c>
      <c r="O439">
        <v>1.6666666666666601</v>
      </c>
      <c r="P439">
        <v>0.33333333333333298</v>
      </c>
      <c r="Q439">
        <v>1.85</v>
      </c>
      <c r="R439">
        <v>3.2</v>
      </c>
      <c r="S439">
        <v>4.5</v>
      </c>
      <c r="T439">
        <v>1.88</v>
      </c>
      <c r="U439">
        <v>3.1</v>
      </c>
      <c r="V439">
        <v>4.8</v>
      </c>
      <c r="W439">
        <v>1.95</v>
      </c>
      <c r="X439">
        <v>3.25</v>
      </c>
      <c r="Y439">
        <v>4.4000000000000004</v>
      </c>
      <c r="Z439">
        <v>1.95</v>
      </c>
      <c r="AA439">
        <v>3.37</v>
      </c>
      <c r="AB439">
        <v>4.67</v>
      </c>
      <c r="AC439">
        <v>1.95</v>
      </c>
      <c r="AD439">
        <v>3.2</v>
      </c>
      <c r="AE439">
        <v>4.33</v>
      </c>
      <c r="AF439">
        <v>1.93</v>
      </c>
      <c r="AG439">
        <v>3.3</v>
      </c>
      <c r="AH439">
        <v>4.2</v>
      </c>
      <c r="AI439">
        <v>2.04</v>
      </c>
      <c r="AJ439">
        <v>3.4</v>
      </c>
      <c r="AK439">
        <v>4.8</v>
      </c>
      <c r="AL439">
        <v>1.95</v>
      </c>
      <c r="AM439">
        <v>3.26</v>
      </c>
      <c r="AN439">
        <v>4.4000000000000004</v>
      </c>
      <c r="AO439">
        <v>1</v>
      </c>
      <c r="AP439">
        <v>0.49382716049382702</v>
      </c>
      <c r="AQ439">
        <v>0.296296296296296</v>
      </c>
      <c r="AR439">
        <v>0.209876543209876</v>
      </c>
      <c r="AS439">
        <v>1</v>
      </c>
      <c r="AT439">
        <v>7.4074074074073001E-3</v>
      </c>
      <c r="AU439">
        <v>2.9703121671872599</v>
      </c>
      <c r="AV439">
        <f t="shared" si="35"/>
        <v>1413482882943012.2</v>
      </c>
      <c r="AW439">
        <f t="shared" si="36"/>
        <v>698016238490376.25</v>
      </c>
      <c r="AX439">
        <f t="shared" si="37"/>
        <v>418809743094225.88</v>
      </c>
      <c r="AY439">
        <f t="shared" si="38"/>
        <v>296656901358410</v>
      </c>
      <c r="AZ439" cm="1">
        <f t="array" ref="AZ439">_xlfn.IFS(E439="H",AW439*AI439-AV439,E439="D",AX439*AJ439-AV439,E439="A",AY439*AK439-AV439)</f>
        <v>10470243577355.25</v>
      </c>
      <c r="BA439">
        <f t="shared" si="39"/>
        <v>132671815822267.91</v>
      </c>
    </row>
    <row r="440" spans="1:53" x14ac:dyDescent="0.2">
      <c r="A440">
        <v>27</v>
      </c>
      <c r="B440" t="s">
        <v>67</v>
      </c>
      <c r="C440" s="1">
        <v>44626</v>
      </c>
      <c r="D440" t="s">
        <v>183</v>
      </c>
      <c r="E440" t="s">
        <v>57</v>
      </c>
      <c r="F440" t="s">
        <v>216</v>
      </c>
      <c r="G440" t="s">
        <v>83</v>
      </c>
      <c r="H440">
        <v>10405</v>
      </c>
      <c r="I440" t="s">
        <v>218</v>
      </c>
      <c r="J440" t="s">
        <v>408</v>
      </c>
      <c r="K440" t="s">
        <v>54</v>
      </c>
      <c r="L440">
        <v>2022</v>
      </c>
      <c r="M440">
        <v>1.3333333333333299</v>
      </c>
      <c r="N440">
        <v>2</v>
      </c>
      <c r="O440">
        <v>1.75</v>
      </c>
      <c r="P440">
        <v>2</v>
      </c>
      <c r="Q440">
        <v>3.6</v>
      </c>
      <c r="R440">
        <v>3</v>
      </c>
      <c r="S440">
        <v>2.2000000000000002</v>
      </c>
      <c r="T440">
        <v>3.5</v>
      </c>
      <c r="U440">
        <v>3</v>
      </c>
      <c r="V440">
        <v>2.2999999999999998</v>
      </c>
      <c r="W440">
        <v>3.35</v>
      </c>
      <c r="X440">
        <v>3.15</v>
      </c>
      <c r="Y440">
        <v>2.2999999999999998</v>
      </c>
      <c r="Z440">
        <v>3.66</v>
      </c>
      <c r="AA440">
        <v>3.16</v>
      </c>
      <c r="AB440">
        <v>2.31</v>
      </c>
      <c r="AC440">
        <v>3.4</v>
      </c>
      <c r="AD440">
        <v>3</v>
      </c>
      <c r="AE440">
        <v>2.2999999999999998</v>
      </c>
      <c r="AF440">
        <v>3.4</v>
      </c>
      <c r="AG440">
        <v>3.2</v>
      </c>
      <c r="AH440">
        <v>2.2000000000000002</v>
      </c>
      <c r="AI440">
        <v>3.66</v>
      </c>
      <c r="AJ440">
        <v>3.25</v>
      </c>
      <c r="AK440">
        <v>2.42</v>
      </c>
      <c r="AL440">
        <v>3.47</v>
      </c>
      <c r="AM440">
        <v>3.12</v>
      </c>
      <c r="AN440">
        <v>2.2799999999999998</v>
      </c>
      <c r="AO440">
        <v>1</v>
      </c>
      <c r="AP440">
        <v>0.27483471478691102</v>
      </c>
      <c r="AQ440">
        <v>0.30950617111387502</v>
      </c>
      <c r="AR440">
        <v>0.41565911409921302</v>
      </c>
      <c r="AS440">
        <v>1</v>
      </c>
      <c r="AT440">
        <v>5.8950561200956601E-3</v>
      </c>
      <c r="AU440">
        <v>2.9762072233073602</v>
      </c>
      <c r="AV440">
        <f t="shared" si="35"/>
        <v>1546154698765280.2</v>
      </c>
      <c r="AW440">
        <f t="shared" si="36"/>
        <v>424936985651598.69</v>
      </c>
      <c r="AX440">
        <f t="shared" si="37"/>
        <v>478544420764569.56</v>
      </c>
      <c r="AY440">
        <f t="shared" si="38"/>
        <v>642673292349112</v>
      </c>
      <c r="AZ440" cm="1">
        <f t="array" ref="AZ440">_xlfn.IFS(E440="H",AW440*AI440-AV440,E440="D",AX440*AJ440-AV440,E440="A",AY440*AK440-AV440)</f>
        <v>9114668719570.75</v>
      </c>
      <c r="BA440">
        <f t="shared" si="39"/>
        <v>141786484541838.66</v>
      </c>
    </row>
    <row r="441" spans="1:53" x14ac:dyDescent="0.2">
      <c r="A441">
        <v>27</v>
      </c>
      <c r="B441" t="s">
        <v>67</v>
      </c>
      <c r="C441" s="1">
        <v>44626</v>
      </c>
      <c r="D441" t="s">
        <v>48</v>
      </c>
      <c r="E441" t="s">
        <v>74</v>
      </c>
      <c r="F441" t="s">
        <v>59</v>
      </c>
      <c r="G441" t="s">
        <v>135</v>
      </c>
      <c r="H441">
        <v>56510</v>
      </c>
      <c r="I441" t="s">
        <v>334</v>
      </c>
      <c r="J441" t="s">
        <v>72</v>
      </c>
      <c r="K441" t="s">
        <v>54</v>
      </c>
      <c r="L441">
        <v>2022</v>
      </c>
      <c r="M441">
        <v>1.3333333333333299</v>
      </c>
      <c r="N441">
        <v>2</v>
      </c>
      <c r="O441">
        <v>0.66666666666666596</v>
      </c>
      <c r="P441">
        <v>1</v>
      </c>
      <c r="Q441">
        <v>2.2999999999999998</v>
      </c>
      <c r="R441">
        <v>3.2</v>
      </c>
      <c r="S441">
        <v>3.3</v>
      </c>
      <c r="T441">
        <v>2.35</v>
      </c>
      <c r="U441">
        <v>3</v>
      </c>
      <c r="V441">
        <v>3.3</v>
      </c>
      <c r="W441">
        <v>2.35</v>
      </c>
      <c r="X441">
        <v>3.3</v>
      </c>
      <c r="Y441">
        <v>3.15</v>
      </c>
      <c r="Z441">
        <v>2.37</v>
      </c>
      <c r="AA441">
        <v>3.25</v>
      </c>
      <c r="AB441">
        <v>3.43</v>
      </c>
      <c r="AC441">
        <v>2.2999999999999998</v>
      </c>
      <c r="AD441">
        <v>3.2</v>
      </c>
      <c r="AE441">
        <v>3.2</v>
      </c>
      <c r="AF441">
        <v>2.25</v>
      </c>
      <c r="AG441">
        <v>3.3</v>
      </c>
      <c r="AH441">
        <v>3.2</v>
      </c>
      <c r="AI441">
        <v>2.42</v>
      </c>
      <c r="AJ441">
        <v>3.4</v>
      </c>
      <c r="AK441">
        <v>3.45</v>
      </c>
      <c r="AL441">
        <v>2.33</v>
      </c>
      <c r="AM441">
        <v>3.23</v>
      </c>
      <c r="AN441">
        <v>3.26</v>
      </c>
      <c r="AO441">
        <v>1</v>
      </c>
      <c r="AP441">
        <v>0.41438513441904801</v>
      </c>
      <c r="AQ441">
        <v>0.29494471332179301</v>
      </c>
      <c r="AR441">
        <v>0.29067015225915799</v>
      </c>
      <c r="AS441">
        <v>0.999999999999999</v>
      </c>
      <c r="AT441">
        <v>2.8120252940968499E-3</v>
      </c>
      <c r="AU441">
        <v>2.9790192486014599</v>
      </c>
      <c r="AV441">
        <f t="shared" si="35"/>
        <v>1687941183307119</v>
      </c>
      <c r="AW441">
        <f t="shared" si="36"/>
        <v>699457734136167.88</v>
      </c>
      <c r="AX441">
        <f t="shared" si="37"/>
        <v>497849328414566.56</v>
      </c>
      <c r="AY441">
        <f t="shared" si="38"/>
        <v>490634120756384.44</v>
      </c>
      <c r="AZ441" cm="1">
        <f t="array" ref="AZ441">_xlfn.IFS(E441="H",AW441*AI441-AV441,E441="D",AX441*AJ441-AV441,E441="A",AY441*AK441-AV441)</f>
        <v>4746533302407.5</v>
      </c>
      <c r="BA441">
        <f t="shared" si="39"/>
        <v>146533017844246.16</v>
      </c>
    </row>
    <row r="442" spans="1:53" x14ac:dyDescent="0.2">
      <c r="A442">
        <v>29</v>
      </c>
      <c r="B442" t="s">
        <v>67</v>
      </c>
      <c r="C442" s="1">
        <v>44633</v>
      </c>
      <c r="D442" t="s">
        <v>459</v>
      </c>
      <c r="E442" t="s">
        <v>49</v>
      </c>
      <c r="F442" t="s">
        <v>126</v>
      </c>
      <c r="G442" t="s">
        <v>213</v>
      </c>
      <c r="H442">
        <v>59957</v>
      </c>
      <c r="I442" t="s">
        <v>128</v>
      </c>
      <c r="J442" t="s">
        <v>460</v>
      </c>
      <c r="K442" t="s">
        <v>54</v>
      </c>
      <c r="L442">
        <v>2022</v>
      </c>
      <c r="M442">
        <v>1.75</v>
      </c>
      <c r="N442">
        <v>1.25</v>
      </c>
      <c r="O442">
        <v>2.25</v>
      </c>
      <c r="P442">
        <v>1.5</v>
      </c>
      <c r="Q442">
        <v>2.25</v>
      </c>
      <c r="R442">
        <v>3.3</v>
      </c>
      <c r="S442">
        <v>3.3</v>
      </c>
      <c r="T442">
        <v>2.2999999999999998</v>
      </c>
      <c r="U442">
        <v>3.25</v>
      </c>
      <c r="V442">
        <v>3.1</v>
      </c>
      <c r="W442">
        <v>2.2999999999999998</v>
      </c>
      <c r="X442">
        <v>3.35</v>
      </c>
      <c r="Y442">
        <v>3.2</v>
      </c>
      <c r="Z442">
        <v>2.41</v>
      </c>
      <c r="AA442">
        <v>3.3</v>
      </c>
      <c r="AB442">
        <v>3.28</v>
      </c>
      <c r="AC442">
        <v>2.2999999999999998</v>
      </c>
      <c r="AD442">
        <v>3.2</v>
      </c>
      <c r="AE442">
        <v>3.2</v>
      </c>
      <c r="AF442">
        <v>2.25</v>
      </c>
      <c r="AG442">
        <v>3.3</v>
      </c>
      <c r="AH442">
        <v>3.1</v>
      </c>
      <c r="AI442">
        <v>2.4500000000000002</v>
      </c>
      <c r="AJ442">
        <v>3.45</v>
      </c>
      <c r="AK442">
        <v>3.55</v>
      </c>
      <c r="AL442">
        <v>2.33</v>
      </c>
      <c r="AM442">
        <v>3.31</v>
      </c>
      <c r="AN442">
        <v>3.24</v>
      </c>
      <c r="AO442">
        <v>1</v>
      </c>
      <c r="AP442">
        <v>0.41661705927374698</v>
      </c>
      <c r="AQ442">
        <v>0.29585849136831299</v>
      </c>
      <c r="AR442">
        <v>0.28752444935793797</v>
      </c>
      <c r="AS442">
        <v>1</v>
      </c>
      <c r="AT442">
        <v>2.0711795220682099E-2</v>
      </c>
      <c r="AU442">
        <v>2.9997310438221398</v>
      </c>
      <c r="AV442">
        <f t="shared" si="35"/>
        <v>1834474201151365.2</v>
      </c>
      <c r="AW442">
        <f t="shared" si="36"/>
        <v>764273246997239.38</v>
      </c>
      <c r="AX442">
        <f t="shared" si="37"/>
        <v>542744769606735.25</v>
      </c>
      <c r="AY442">
        <f t="shared" si="38"/>
        <v>527456184547390.56</v>
      </c>
      <c r="AZ442" cm="1">
        <f t="array" ref="AZ442">_xlfn.IFS(E442="H",AW442*AI442-AV442,E442="D",AX442*AJ442-AV442,E442="A",AY442*AK442-AV442)</f>
        <v>37995253991871.25</v>
      </c>
      <c r="BA442">
        <f t="shared" si="39"/>
        <v>184528271836117.41</v>
      </c>
    </row>
    <row r="443" spans="1:53" x14ac:dyDescent="0.2">
      <c r="A443">
        <v>28</v>
      </c>
      <c r="B443" t="s">
        <v>67</v>
      </c>
      <c r="C443" s="1">
        <v>44633</v>
      </c>
      <c r="D443" t="s">
        <v>432</v>
      </c>
      <c r="E443" t="s">
        <v>49</v>
      </c>
      <c r="F443" t="s">
        <v>87</v>
      </c>
      <c r="G443" t="s">
        <v>86</v>
      </c>
      <c r="H443">
        <v>54507</v>
      </c>
      <c r="I443" t="s">
        <v>167</v>
      </c>
      <c r="J443" t="s">
        <v>310</v>
      </c>
      <c r="K443" t="s">
        <v>54</v>
      </c>
      <c r="L443">
        <v>2022</v>
      </c>
      <c r="M443">
        <v>3</v>
      </c>
      <c r="N443">
        <v>4</v>
      </c>
      <c r="O443">
        <v>1.5</v>
      </c>
      <c r="P443">
        <v>1.25</v>
      </c>
      <c r="Q443">
        <v>1.33</v>
      </c>
      <c r="R443">
        <v>4.75</v>
      </c>
      <c r="S443">
        <v>10</v>
      </c>
      <c r="T443">
        <v>1.36</v>
      </c>
      <c r="U443">
        <v>5</v>
      </c>
      <c r="V443">
        <v>8.25</v>
      </c>
      <c r="W443">
        <v>1.35</v>
      </c>
      <c r="X443">
        <v>5.25</v>
      </c>
      <c r="Y443">
        <v>8.75</v>
      </c>
      <c r="Z443">
        <v>1.35</v>
      </c>
      <c r="AA443">
        <v>5.37</v>
      </c>
      <c r="AB443">
        <v>10.09</v>
      </c>
      <c r="AC443">
        <v>1.3</v>
      </c>
      <c r="AD443">
        <v>5</v>
      </c>
      <c r="AE443">
        <v>11</v>
      </c>
      <c r="AF443">
        <v>1.3</v>
      </c>
      <c r="AG443">
        <v>5</v>
      </c>
      <c r="AH443">
        <v>9.5</v>
      </c>
      <c r="AI443">
        <v>1.38</v>
      </c>
      <c r="AJ443">
        <v>5.6</v>
      </c>
      <c r="AK443">
        <v>11.25</v>
      </c>
      <c r="AL443">
        <v>1.34</v>
      </c>
      <c r="AM443">
        <v>5.2</v>
      </c>
      <c r="AN443">
        <v>9.51</v>
      </c>
      <c r="AO443">
        <v>1</v>
      </c>
      <c r="AP443">
        <v>0.73040937706514497</v>
      </c>
      <c r="AQ443">
        <v>0.17999373934819601</v>
      </c>
      <c r="AR443">
        <v>8.9596883586657794E-2</v>
      </c>
      <c r="AS443">
        <v>1</v>
      </c>
      <c r="AT443">
        <v>7.9649403499006902E-3</v>
      </c>
      <c r="AU443">
        <v>3.0076959841720399</v>
      </c>
      <c r="AV443">
        <f t="shared" si="35"/>
        <v>2019002472987482.8</v>
      </c>
      <c r="AW443">
        <f t="shared" si="36"/>
        <v>1474698338587775.5</v>
      </c>
      <c r="AX443">
        <f t="shared" si="37"/>
        <v>363407804866273.31</v>
      </c>
      <c r="AY443">
        <f t="shared" si="38"/>
        <v>180896329533433.81</v>
      </c>
      <c r="AZ443" cm="1">
        <f t="array" ref="AZ443">_xlfn.IFS(E443="H",AW443*AI443-AV443,E443="D",AX443*AJ443-AV443,E443="A",AY443*AK443-AV443)</f>
        <v>16081234263647.25</v>
      </c>
      <c r="BA443">
        <f t="shared" si="39"/>
        <v>200609506099764.66</v>
      </c>
    </row>
    <row r="444" spans="1:53" x14ac:dyDescent="0.2">
      <c r="A444">
        <v>29</v>
      </c>
      <c r="B444" t="s">
        <v>198</v>
      </c>
      <c r="C444" s="1">
        <v>44634</v>
      </c>
      <c r="D444" t="s">
        <v>431</v>
      </c>
      <c r="E444" t="s">
        <v>49</v>
      </c>
      <c r="F444" t="s">
        <v>184</v>
      </c>
      <c r="G444" t="s">
        <v>440</v>
      </c>
      <c r="H444">
        <v>18000</v>
      </c>
      <c r="I444" t="s">
        <v>110</v>
      </c>
      <c r="J444" t="s">
        <v>186</v>
      </c>
      <c r="K444" t="s">
        <v>54</v>
      </c>
      <c r="L444">
        <v>2022</v>
      </c>
      <c r="M444">
        <v>1.25</v>
      </c>
      <c r="N444">
        <v>1.75</v>
      </c>
      <c r="O444">
        <v>1</v>
      </c>
      <c r="P444">
        <v>1.3333333333333299</v>
      </c>
      <c r="Q444">
        <v>1.33</v>
      </c>
      <c r="R444">
        <v>5.5</v>
      </c>
      <c r="S444">
        <v>8.5</v>
      </c>
      <c r="T444">
        <v>1.34</v>
      </c>
      <c r="U444">
        <v>5.25</v>
      </c>
      <c r="V444">
        <v>8.5</v>
      </c>
      <c r="W444">
        <v>1.33</v>
      </c>
      <c r="X444">
        <v>5.5</v>
      </c>
      <c r="Y444">
        <v>8.5</v>
      </c>
      <c r="Z444">
        <v>1.36</v>
      </c>
      <c r="AA444">
        <v>5.4</v>
      </c>
      <c r="AB444">
        <v>9.6199999999999992</v>
      </c>
      <c r="AC444">
        <v>1.33</v>
      </c>
      <c r="AD444">
        <v>5.25</v>
      </c>
      <c r="AE444">
        <v>8</v>
      </c>
      <c r="AF444">
        <v>1.29</v>
      </c>
      <c r="AG444">
        <v>5.25</v>
      </c>
      <c r="AH444">
        <v>10.5</v>
      </c>
      <c r="AI444">
        <v>1.38</v>
      </c>
      <c r="AJ444">
        <v>5.6</v>
      </c>
      <c r="AK444">
        <v>10.5</v>
      </c>
      <c r="AL444">
        <v>1.34</v>
      </c>
      <c r="AM444">
        <v>5.34</v>
      </c>
      <c r="AN444">
        <v>8.9499999999999993</v>
      </c>
      <c r="AO444">
        <v>1</v>
      </c>
      <c r="AP444">
        <v>0.72576464489372705</v>
      </c>
      <c r="AQ444">
        <v>0.178849144634525</v>
      </c>
      <c r="AR444">
        <v>9.5386210471747002E-2</v>
      </c>
      <c r="AS444">
        <v>0.999999999999999</v>
      </c>
      <c r="AT444">
        <v>1.55520995334357E-3</v>
      </c>
      <c r="AU444">
        <v>3.0092511941253801</v>
      </c>
      <c r="AV444">
        <f t="shared" si="35"/>
        <v>2219611979087247.5</v>
      </c>
      <c r="AW444">
        <f t="shared" si="36"/>
        <v>1610915899804119.5</v>
      </c>
      <c r="AX444">
        <f t="shared" si="37"/>
        <v>396975703880300.88</v>
      </c>
      <c r="AY444">
        <f t="shared" si="38"/>
        <v>211720375402827.12</v>
      </c>
      <c r="AZ444" cm="1">
        <f t="array" ref="AZ444">_xlfn.IFS(E444="H",AW444*AI444-AV444,E444="D",AX444*AJ444-AV444,E444="A",AY444*AK444-AV444)</f>
        <v>3451962642437.25</v>
      </c>
      <c r="BA444">
        <f t="shared" si="39"/>
        <v>204061468742201.91</v>
      </c>
    </row>
    <row r="445" spans="1:53" x14ac:dyDescent="0.2">
      <c r="A445">
        <v>27</v>
      </c>
      <c r="B445" t="s">
        <v>202</v>
      </c>
      <c r="C445" s="1">
        <v>44636</v>
      </c>
      <c r="D445" t="s">
        <v>461</v>
      </c>
      <c r="E445" t="s">
        <v>74</v>
      </c>
      <c r="F445" t="s">
        <v>178</v>
      </c>
      <c r="G445" t="s">
        <v>210</v>
      </c>
      <c r="H445">
        <v>59968</v>
      </c>
      <c r="I445" t="s">
        <v>419</v>
      </c>
      <c r="J445" t="s">
        <v>155</v>
      </c>
      <c r="K445" t="s">
        <v>54</v>
      </c>
      <c r="L445">
        <v>2022</v>
      </c>
      <c r="M445">
        <v>2.5</v>
      </c>
      <c r="N445">
        <v>1.5</v>
      </c>
      <c r="O445">
        <v>2.5</v>
      </c>
      <c r="P445">
        <v>2</v>
      </c>
      <c r="Q445">
        <v>3.5</v>
      </c>
      <c r="R445">
        <v>4</v>
      </c>
      <c r="S445">
        <v>1.9</v>
      </c>
      <c r="T445">
        <v>3.4</v>
      </c>
      <c r="U445">
        <v>4</v>
      </c>
      <c r="V445">
        <v>1.93</v>
      </c>
      <c r="W445">
        <v>3.75</v>
      </c>
      <c r="X445">
        <v>3.85</v>
      </c>
      <c r="Y445">
        <v>1.9</v>
      </c>
      <c r="Z445">
        <v>3.78</v>
      </c>
      <c r="AA445">
        <v>4.12</v>
      </c>
      <c r="AB445">
        <v>1.93</v>
      </c>
      <c r="AC445">
        <v>3.75</v>
      </c>
      <c r="AD445">
        <v>3.8</v>
      </c>
      <c r="AE445">
        <v>1.88</v>
      </c>
      <c r="AF445">
        <v>3.9</v>
      </c>
      <c r="AG445">
        <v>3.6</v>
      </c>
      <c r="AH445">
        <v>1.87</v>
      </c>
      <c r="AI445">
        <v>4</v>
      </c>
      <c r="AJ445">
        <v>4.25</v>
      </c>
      <c r="AK445">
        <v>1.98</v>
      </c>
      <c r="AL445">
        <v>3.78</v>
      </c>
      <c r="AM445">
        <v>3.98</v>
      </c>
      <c r="AN445">
        <v>1.92</v>
      </c>
      <c r="AO445">
        <v>1</v>
      </c>
      <c r="AP445">
        <v>0.25243737813109302</v>
      </c>
      <c r="AQ445">
        <v>0.23758812059397</v>
      </c>
      <c r="AR445">
        <v>0.50997450127493604</v>
      </c>
      <c r="AS445">
        <v>1</v>
      </c>
      <c r="AT445">
        <v>9.7495125243738292E-3</v>
      </c>
      <c r="AU445">
        <v>3.0190007066497602</v>
      </c>
      <c r="AV445">
        <f t="shared" si="35"/>
        <v>2423673447829449.5</v>
      </c>
      <c r="AW445">
        <f t="shared" si="36"/>
        <v>611825770616013.75</v>
      </c>
      <c r="AX445">
        <f t="shared" si="37"/>
        <v>575836019403307</v>
      </c>
      <c r="AY445">
        <f t="shared" si="38"/>
        <v>1236011657810128.8</v>
      </c>
      <c r="AZ445" cm="1">
        <f t="array" ref="AZ445">_xlfn.IFS(E445="H",AW445*AI445-AV445,E445="D",AX445*AJ445-AV445,E445="A",AY445*AK445-AV445)</f>
        <v>23629634634605.5</v>
      </c>
      <c r="BA445">
        <f t="shared" si="39"/>
        <v>227691103376807.41</v>
      </c>
    </row>
    <row r="446" spans="1:53" x14ac:dyDescent="0.2">
      <c r="A446">
        <v>30</v>
      </c>
      <c r="B446" t="s">
        <v>47</v>
      </c>
      <c r="C446" s="1">
        <v>44638</v>
      </c>
      <c r="D446" t="s">
        <v>462</v>
      </c>
      <c r="E446" t="s">
        <v>49</v>
      </c>
      <c r="F446" t="s">
        <v>109</v>
      </c>
      <c r="G446" t="s">
        <v>371</v>
      </c>
      <c r="H446">
        <v>6130</v>
      </c>
      <c r="I446" t="s">
        <v>123</v>
      </c>
      <c r="J446" t="s">
        <v>144</v>
      </c>
      <c r="K446" t="s">
        <v>54</v>
      </c>
      <c r="L446">
        <v>2022</v>
      </c>
      <c r="M446">
        <v>1.25</v>
      </c>
      <c r="N446">
        <v>1.75</v>
      </c>
      <c r="O446">
        <v>1</v>
      </c>
      <c r="P446">
        <v>1.25</v>
      </c>
      <c r="Q446">
        <v>1.66</v>
      </c>
      <c r="R446">
        <v>4.2</v>
      </c>
      <c r="S446">
        <v>4.75</v>
      </c>
      <c r="T446">
        <v>1.61</v>
      </c>
      <c r="U446">
        <v>4.2</v>
      </c>
      <c r="V446">
        <v>5</v>
      </c>
      <c r="W446">
        <v>1.7</v>
      </c>
      <c r="X446">
        <v>4.0999999999999996</v>
      </c>
      <c r="Y446">
        <v>4.5999999999999996</v>
      </c>
      <c r="Z446">
        <v>1.7</v>
      </c>
      <c r="AA446">
        <v>4.2300000000000004</v>
      </c>
      <c r="AB446">
        <v>4.99</v>
      </c>
      <c r="AC446">
        <v>1.62</v>
      </c>
      <c r="AD446">
        <v>4</v>
      </c>
      <c r="AE446">
        <v>5.25</v>
      </c>
      <c r="AF446">
        <v>1.6</v>
      </c>
      <c r="AG446">
        <v>4.0999999999999996</v>
      </c>
      <c r="AH446">
        <v>5.5</v>
      </c>
      <c r="AI446">
        <v>1.73</v>
      </c>
      <c r="AJ446">
        <v>4.3899999999999997</v>
      </c>
      <c r="AK446">
        <v>5.5</v>
      </c>
      <c r="AL446">
        <v>1.66</v>
      </c>
      <c r="AM446">
        <v>4.2300000000000004</v>
      </c>
      <c r="AN446">
        <v>4.97</v>
      </c>
      <c r="AO446">
        <v>1</v>
      </c>
      <c r="AP446">
        <v>0.58526664840612097</v>
      </c>
      <c r="AQ446">
        <v>0.23064038764068001</v>
      </c>
      <c r="AR446">
        <v>0.18409296395319799</v>
      </c>
      <c r="AS446">
        <v>1</v>
      </c>
      <c r="AT446">
        <v>1.2511301742589499E-2</v>
      </c>
      <c r="AU446">
        <v>3.0315120083923501</v>
      </c>
      <c r="AV446">
        <f t="shared" si="35"/>
        <v>2651364551206257</v>
      </c>
      <c r="AW446">
        <f t="shared" si="36"/>
        <v>1551755244587285.2</v>
      </c>
      <c r="AX446">
        <f t="shared" si="37"/>
        <v>611511747866971.12</v>
      </c>
      <c r="AY446">
        <f t="shared" si="38"/>
        <v>488097558752000.62</v>
      </c>
      <c r="AZ446" cm="1">
        <f t="array" ref="AZ446">_xlfn.IFS(E446="H",AW446*AI446-AV446,E446="D",AX446*AJ446-AV446,E446="A",AY446*AK446-AV446)</f>
        <v>33172021929746.5</v>
      </c>
      <c r="BA446">
        <f t="shared" si="39"/>
        <v>260863125306553.91</v>
      </c>
    </row>
    <row r="447" spans="1:53" x14ac:dyDescent="0.2">
      <c r="A447">
        <v>30</v>
      </c>
      <c r="B447" t="s">
        <v>47</v>
      </c>
      <c r="C447" s="1">
        <v>44638</v>
      </c>
      <c r="D447" t="s">
        <v>362</v>
      </c>
      <c r="E447" t="s">
        <v>74</v>
      </c>
      <c r="F447" t="s">
        <v>404</v>
      </c>
      <c r="G447" t="s">
        <v>346</v>
      </c>
      <c r="H447">
        <v>31842</v>
      </c>
      <c r="I447" t="s">
        <v>463</v>
      </c>
      <c r="J447" t="s">
        <v>103</v>
      </c>
      <c r="K447" t="s">
        <v>54</v>
      </c>
      <c r="L447">
        <v>2022</v>
      </c>
      <c r="M447">
        <v>1.5</v>
      </c>
      <c r="N447">
        <v>1.5</v>
      </c>
      <c r="O447">
        <v>0.25</v>
      </c>
      <c r="P447">
        <v>0.75</v>
      </c>
      <c r="Q447">
        <v>2.1</v>
      </c>
      <c r="R447">
        <v>3.5</v>
      </c>
      <c r="S447">
        <v>3.4</v>
      </c>
      <c r="T447">
        <v>2.1</v>
      </c>
      <c r="U447">
        <v>3.5</v>
      </c>
      <c r="V447">
        <v>3.4</v>
      </c>
      <c r="W447">
        <v>2.15</v>
      </c>
      <c r="X447">
        <v>3.4</v>
      </c>
      <c r="Y447">
        <v>3.5</v>
      </c>
      <c r="Z447">
        <v>2.17</v>
      </c>
      <c r="AA447">
        <v>3.53</v>
      </c>
      <c r="AB447">
        <v>3.6</v>
      </c>
      <c r="AC447">
        <v>2.1</v>
      </c>
      <c r="AD447">
        <v>3.4</v>
      </c>
      <c r="AE447">
        <v>3.4</v>
      </c>
      <c r="AF447">
        <v>2.1</v>
      </c>
      <c r="AG447">
        <v>3.4</v>
      </c>
      <c r="AH447">
        <v>3.7</v>
      </c>
      <c r="AI447">
        <v>2.25</v>
      </c>
      <c r="AJ447">
        <v>3.66</v>
      </c>
      <c r="AK447">
        <v>3.75</v>
      </c>
      <c r="AL447">
        <v>2.14</v>
      </c>
      <c r="AM447">
        <v>3.49</v>
      </c>
      <c r="AN447">
        <v>3.56</v>
      </c>
      <c r="AO447">
        <v>1</v>
      </c>
      <c r="AP447">
        <v>0.451517394522575</v>
      </c>
      <c r="AQ447">
        <v>0.27757216876387802</v>
      </c>
      <c r="AR447">
        <v>0.27091043671354498</v>
      </c>
      <c r="AS447">
        <v>1</v>
      </c>
      <c r="AT447">
        <v>1.5914137675795598E-2</v>
      </c>
      <c r="AU447">
        <v>3.04742614606814</v>
      </c>
      <c r="AV447">
        <f t="shared" si="35"/>
        <v>2912227676512811</v>
      </c>
      <c r="AW447">
        <f t="shared" si="36"/>
        <v>1314921452755599.2</v>
      </c>
      <c r="AX447">
        <f t="shared" si="37"/>
        <v>808353352103852</v>
      </c>
      <c r="AY447">
        <f t="shared" si="38"/>
        <v>788952871653359.62</v>
      </c>
      <c r="AZ447" cm="1">
        <f t="array" ref="AZ447">_xlfn.IFS(E447="H",AW447*AI447-AV447,E447="D",AX447*AJ447-AV447,E447="A",AY447*AK447-AV447)</f>
        <v>46345592187287.5</v>
      </c>
      <c r="BA447">
        <f t="shared" si="39"/>
        <v>307208717493841.38</v>
      </c>
    </row>
    <row r="448" spans="1:53" x14ac:dyDescent="0.2">
      <c r="A448">
        <v>27</v>
      </c>
      <c r="B448" t="s">
        <v>55</v>
      </c>
      <c r="C448" s="1">
        <v>44639</v>
      </c>
      <c r="D448" t="s">
        <v>170</v>
      </c>
      <c r="E448" t="s">
        <v>49</v>
      </c>
      <c r="F448" t="s">
        <v>75</v>
      </c>
      <c r="G448" t="s">
        <v>417</v>
      </c>
      <c r="H448">
        <v>25000</v>
      </c>
      <c r="I448" t="s">
        <v>77</v>
      </c>
      <c r="J448" t="s">
        <v>197</v>
      </c>
      <c r="K448" t="s">
        <v>54</v>
      </c>
      <c r="L448">
        <v>2022</v>
      </c>
      <c r="M448">
        <v>2.25</v>
      </c>
      <c r="N448">
        <v>1.5</v>
      </c>
      <c r="O448">
        <v>0.75</v>
      </c>
      <c r="P448">
        <v>0.5</v>
      </c>
      <c r="Q448">
        <v>1.6</v>
      </c>
      <c r="R448">
        <v>3.75</v>
      </c>
      <c r="S448">
        <v>6</v>
      </c>
      <c r="T448">
        <v>1.66</v>
      </c>
      <c r="U448">
        <v>3.6</v>
      </c>
      <c r="V448">
        <v>5.5</v>
      </c>
      <c r="W448">
        <v>1.7</v>
      </c>
      <c r="X448">
        <v>3.55</v>
      </c>
      <c r="Y448">
        <v>5.5</v>
      </c>
      <c r="Z448">
        <v>1.63</v>
      </c>
      <c r="AA448">
        <v>3.82</v>
      </c>
      <c r="AB448">
        <v>6.62</v>
      </c>
      <c r="AC448">
        <v>1.62</v>
      </c>
      <c r="AD448">
        <v>3.6</v>
      </c>
      <c r="AE448">
        <v>6</v>
      </c>
      <c r="AF448">
        <v>1.6</v>
      </c>
      <c r="AG448">
        <v>3.8</v>
      </c>
      <c r="AH448">
        <v>6</v>
      </c>
      <c r="AI448">
        <v>1.7</v>
      </c>
      <c r="AJ448">
        <v>3.96</v>
      </c>
      <c r="AK448">
        <v>6.62</v>
      </c>
      <c r="AL448">
        <v>1.64</v>
      </c>
      <c r="AM448">
        <v>3.76</v>
      </c>
      <c r="AN448">
        <v>6.08</v>
      </c>
      <c r="AO448">
        <v>1</v>
      </c>
      <c r="AP448">
        <v>0.59308797046233996</v>
      </c>
      <c r="AQ448">
        <v>0.254608472168176</v>
      </c>
      <c r="AR448">
        <v>0.15230355736948301</v>
      </c>
      <c r="AS448">
        <v>1</v>
      </c>
      <c r="AT448">
        <v>8.2495497859786902E-3</v>
      </c>
      <c r="AU448">
        <v>3.05567569585412</v>
      </c>
      <c r="AV448">
        <f t="shared" si="35"/>
        <v>3219436394006652.5</v>
      </c>
      <c r="AW448">
        <f t="shared" si="36"/>
        <v>1909408996954001.2</v>
      </c>
      <c r="AX448">
        <f t="shared" si="37"/>
        <v>819695781520657</v>
      </c>
      <c r="AY448">
        <f t="shared" si="38"/>
        <v>490331615531994.25</v>
      </c>
      <c r="AZ448" cm="1">
        <f t="array" ref="AZ448">_xlfn.IFS(E448="H",AW448*AI448-AV448,E448="D",AX448*AJ448-AV448,E448="A",AY448*AK448-AV448)</f>
        <v>26558900815149.5</v>
      </c>
      <c r="BA448">
        <f t="shared" si="39"/>
        <v>333767618308990.88</v>
      </c>
    </row>
    <row r="449" spans="1:53" x14ac:dyDescent="0.2">
      <c r="A449">
        <v>30</v>
      </c>
      <c r="B449" t="s">
        <v>55</v>
      </c>
      <c r="C449" s="1">
        <v>44639</v>
      </c>
      <c r="D449" t="s">
        <v>464</v>
      </c>
      <c r="E449" t="s">
        <v>74</v>
      </c>
      <c r="F449" t="s">
        <v>213</v>
      </c>
      <c r="G449" t="s">
        <v>178</v>
      </c>
      <c r="H449">
        <v>41956</v>
      </c>
      <c r="I449" t="s">
        <v>214</v>
      </c>
      <c r="J449" t="s">
        <v>251</v>
      </c>
      <c r="K449" t="s">
        <v>54</v>
      </c>
      <c r="L449">
        <v>2022</v>
      </c>
      <c r="M449">
        <v>1.25</v>
      </c>
      <c r="N449">
        <v>2.25</v>
      </c>
      <c r="O449">
        <v>3</v>
      </c>
      <c r="P449">
        <v>2</v>
      </c>
      <c r="Q449">
        <v>3</v>
      </c>
      <c r="R449">
        <v>3.3</v>
      </c>
      <c r="S449">
        <v>2.4</v>
      </c>
      <c r="T449">
        <v>2.9</v>
      </c>
      <c r="U449">
        <v>3.5</v>
      </c>
      <c r="V449">
        <v>2.35</v>
      </c>
      <c r="W449">
        <v>2.95</v>
      </c>
      <c r="X449">
        <v>3.45</v>
      </c>
      <c r="Y449">
        <v>2.35</v>
      </c>
      <c r="Z449">
        <v>3.06</v>
      </c>
      <c r="AA449">
        <v>3.48</v>
      </c>
      <c r="AB449">
        <v>2.4500000000000002</v>
      </c>
      <c r="AC449">
        <v>2.9</v>
      </c>
      <c r="AD449">
        <v>3.5</v>
      </c>
      <c r="AE449">
        <v>2.35</v>
      </c>
      <c r="AF449">
        <v>2.9</v>
      </c>
      <c r="AG449">
        <v>3.3</v>
      </c>
      <c r="AH449">
        <v>2.38</v>
      </c>
      <c r="AI449">
        <v>3.1</v>
      </c>
      <c r="AJ449">
        <v>3.6</v>
      </c>
      <c r="AK449">
        <v>2.52</v>
      </c>
      <c r="AL449">
        <v>2.99</v>
      </c>
      <c r="AM449">
        <v>3.47</v>
      </c>
      <c r="AN449">
        <v>2.41</v>
      </c>
      <c r="AO449">
        <v>1</v>
      </c>
      <c r="AP449">
        <v>0.32349165596919099</v>
      </c>
      <c r="AQ449">
        <v>0.27856225930680301</v>
      </c>
      <c r="AR449">
        <v>0.397946084724005</v>
      </c>
      <c r="AS449">
        <v>1</v>
      </c>
      <c r="AT449">
        <v>2.82413350449295E-3</v>
      </c>
      <c r="AU449">
        <v>3.0584998293586101</v>
      </c>
      <c r="AV449">
        <f t="shared" si="35"/>
        <v>3553204012315643.5</v>
      </c>
      <c r="AW449">
        <f t="shared" si="36"/>
        <v>1149431849940362.2</v>
      </c>
      <c r="AX449">
        <f t="shared" si="37"/>
        <v>989788537448645.25</v>
      </c>
      <c r="AY449">
        <f t="shared" si="38"/>
        <v>1413983624926636.2</v>
      </c>
      <c r="AZ449" cm="1">
        <f t="array" ref="AZ449">_xlfn.IFS(E449="H",AW449*AI449-AV449,E449="D",AX449*AJ449-AV449,E449="A",AY449*AK449-AV449)</f>
        <v>10034722499480</v>
      </c>
      <c r="BA449">
        <f t="shared" si="39"/>
        <v>343802340808470.88</v>
      </c>
    </row>
    <row r="450" spans="1:53" x14ac:dyDescent="0.2">
      <c r="A450">
        <v>29</v>
      </c>
      <c r="B450" t="s">
        <v>67</v>
      </c>
      <c r="C450" s="1">
        <v>44640</v>
      </c>
      <c r="D450" t="s">
        <v>465</v>
      </c>
      <c r="E450" t="s">
        <v>57</v>
      </c>
      <c r="F450" t="s">
        <v>157</v>
      </c>
      <c r="G450" t="s">
        <v>236</v>
      </c>
      <c r="H450">
        <v>13149</v>
      </c>
      <c r="I450" t="s">
        <v>159</v>
      </c>
      <c r="J450" t="s">
        <v>310</v>
      </c>
      <c r="K450" t="s">
        <v>54</v>
      </c>
      <c r="L450">
        <v>2022</v>
      </c>
      <c r="M450">
        <v>2.5</v>
      </c>
      <c r="N450">
        <v>2.25</v>
      </c>
      <c r="O450">
        <v>1.75</v>
      </c>
      <c r="P450">
        <v>2.5</v>
      </c>
      <c r="Q450">
        <v>2.2000000000000002</v>
      </c>
      <c r="R450">
        <v>3.5</v>
      </c>
      <c r="S450">
        <v>3.2</v>
      </c>
      <c r="T450">
        <v>2.25</v>
      </c>
      <c r="U450">
        <v>3.3</v>
      </c>
      <c r="V450">
        <v>3.2</v>
      </c>
      <c r="W450">
        <v>2.25</v>
      </c>
      <c r="X450">
        <v>3.4</v>
      </c>
      <c r="Y450">
        <v>3.2</v>
      </c>
      <c r="Z450">
        <v>2.2200000000000002</v>
      </c>
      <c r="AA450">
        <v>3.54</v>
      </c>
      <c r="AB450">
        <v>3.45</v>
      </c>
      <c r="AC450">
        <v>2.2999999999999998</v>
      </c>
      <c r="AD450">
        <v>3.2</v>
      </c>
      <c r="AE450">
        <v>3.25</v>
      </c>
      <c r="AF450">
        <v>2.2000000000000002</v>
      </c>
      <c r="AG450">
        <v>3.3</v>
      </c>
      <c r="AH450">
        <v>3.13</v>
      </c>
      <c r="AI450">
        <v>2.38</v>
      </c>
      <c r="AJ450">
        <v>3.55</v>
      </c>
      <c r="AK450">
        <v>3.5</v>
      </c>
      <c r="AL450">
        <v>2.23</v>
      </c>
      <c r="AM450">
        <v>3.41</v>
      </c>
      <c r="AN450">
        <v>3.3</v>
      </c>
      <c r="AO450">
        <v>1</v>
      </c>
      <c r="AP450">
        <v>0.42545541706615497</v>
      </c>
      <c r="AQ450">
        <v>0.28523489932885898</v>
      </c>
      <c r="AR450">
        <v>0.28930968360498499</v>
      </c>
      <c r="AS450">
        <v>1</v>
      </c>
      <c r="AT450">
        <v>1.2583892617449501E-2</v>
      </c>
      <c r="AU450">
        <v>3.0710837219760601</v>
      </c>
      <c r="AV450">
        <f t="shared" si="35"/>
        <v>3897006353124114.5</v>
      </c>
      <c r="AW450">
        <f t="shared" si="36"/>
        <v>1658002463277877.2</v>
      </c>
      <c r="AX450">
        <f t="shared" si="37"/>
        <v>1111562214817281</v>
      </c>
      <c r="AY450">
        <f t="shared" si="38"/>
        <v>1127441675028956.5</v>
      </c>
      <c r="AZ450" cm="1">
        <f t="array" ref="AZ450">_xlfn.IFS(E450="H",AW450*AI450-AV450,E450="D",AX450*AJ450-AV450,E450="A",AY450*AK450-AV450)</f>
        <v>49039509477233</v>
      </c>
      <c r="BA450">
        <f t="shared" si="39"/>
        <v>392841850285703.88</v>
      </c>
    </row>
    <row r="451" spans="1:53" x14ac:dyDescent="0.2">
      <c r="A451">
        <v>28</v>
      </c>
      <c r="B451" t="s">
        <v>47</v>
      </c>
      <c r="C451" s="1">
        <v>44652</v>
      </c>
      <c r="D451" t="s">
        <v>199</v>
      </c>
      <c r="E451" t="s">
        <v>49</v>
      </c>
      <c r="F451" t="s">
        <v>255</v>
      </c>
      <c r="G451" t="s">
        <v>223</v>
      </c>
      <c r="H451">
        <v>22012</v>
      </c>
      <c r="I451" t="s">
        <v>343</v>
      </c>
      <c r="J451" t="s">
        <v>452</v>
      </c>
      <c r="K451" t="s">
        <v>54</v>
      </c>
      <c r="L451">
        <v>2022</v>
      </c>
      <c r="M451">
        <v>1.75</v>
      </c>
      <c r="N451">
        <v>1.5</v>
      </c>
      <c r="O451">
        <v>1.25</v>
      </c>
      <c r="P451">
        <v>1.25</v>
      </c>
      <c r="Q451">
        <v>2.25</v>
      </c>
      <c r="R451">
        <v>3.3</v>
      </c>
      <c r="S451">
        <v>3.3</v>
      </c>
      <c r="T451">
        <v>2.25</v>
      </c>
      <c r="U451">
        <v>3.1</v>
      </c>
      <c r="V451">
        <v>3.3</v>
      </c>
      <c r="W451">
        <v>2.4</v>
      </c>
      <c r="X451">
        <v>3.15</v>
      </c>
      <c r="Y451">
        <v>3.2</v>
      </c>
      <c r="Z451">
        <v>2.35</v>
      </c>
      <c r="AA451">
        <v>3.24</v>
      </c>
      <c r="AB451">
        <v>3.47</v>
      </c>
      <c r="AC451">
        <v>2.2999999999999998</v>
      </c>
      <c r="AD451">
        <v>3.2</v>
      </c>
      <c r="AE451">
        <v>3.2</v>
      </c>
      <c r="AF451">
        <v>2.25</v>
      </c>
      <c r="AG451">
        <v>3.4</v>
      </c>
      <c r="AH451">
        <v>3.2</v>
      </c>
      <c r="AI451">
        <v>2.4</v>
      </c>
      <c r="AJ451">
        <v>3.4</v>
      </c>
      <c r="AK451">
        <v>3.47</v>
      </c>
      <c r="AL451">
        <v>2.33</v>
      </c>
      <c r="AM451">
        <v>3.25</v>
      </c>
      <c r="AN451">
        <v>3.32</v>
      </c>
      <c r="AO451">
        <v>1</v>
      </c>
      <c r="AP451">
        <v>0.41709679700204999</v>
      </c>
      <c r="AQ451">
        <v>0.29442126847203498</v>
      </c>
      <c r="AR451">
        <v>0.28848193452591298</v>
      </c>
      <c r="AS451">
        <v>1</v>
      </c>
      <c r="AT451">
        <v>1.03231280492122E-3</v>
      </c>
      <c r="AU451">
        <v>3.0721160347809802</v>
      </c>
      <c r="AV451">
        <f t="shared" si="35"/>
        <v>4289848203409818.5</v>
      </c>
      <c r="AW451">
        <f t="shared" si="36"/>
        <v>1789281945267236.2</v>
      </c>
      <c r="AX451">
        <f t="shared" si="37"/>
        <v>1263022549600401.8</v>
      </c>
      <c r="AY451">
        <f t="shared" si="38"/>
        <v>1237543708542180.5</v>
      </c>
      <c r="AZ451" cm="1">
        <f t="array" ref="AZ451">_xlfn.IFS(E451="H",AW451*AI451-AV451,E451="D",AX451*AJ451-AV451,E451="A",AY451*AK451-AV451)</f>
        <v>4428465231548.5</v>
      </c>
      <c r="BA451">
        <f t="shared" si="39"/>
        <v>397270315517252.38</v>
      </c>
    </row>
    <row r="452" spans="1:53" x14ac:dyDescent="0.2">
      <c r="A452">
        <v>28</v>
      </c>
      <c r="B452" t="s">
        <v>55</v>
      </c>
      <c r="C452" s="1">
        <v>44653</v>
      </c>
      <c r="D452" t="s">
        <v>73</v>
      </c>
      <c r="E452" t="s">
        <v>74</v>
      </c>
      <c r="F452" t="s">
        <v>172</v>
      </c>
      <c r="G452" t="s">
        <v>191</v>
      </c>
      <c r="H452">
        <v>34700</v>
      </c>
      <c r="I452" t="s">
        <v>466</v>
      </c>
      <c r="J452" t="s">
        <v>174</v>
      </c>
      <c r="K452" t="s">
        <v>54</v>
      </c>
      <c r="L452">
        <v>2022</v>
      </c>
      <c r="M452">
        <v>2.5</v>
      </c>
      <c r="N452">
        <v>2.25</v>
      </c>
      <c r="O452">
        <v>1.75</v>
      </c>
      <c r="P452">
        <v>2</v>
      </c>
      <c r="Q452">
        <v>5.5</v>
      </c>
      <c r="R452">
        <v>4.75</v>
      </c>
      <c r="S452">
        <v>1.5</v>
      </c>
      <c r="T452">
        <v>5.75</v>
      </c>
      <c r="U452">
        <v>4.8</v>
      </c>
      <c r="V452">
        <v>1.49</v>
      </c>
      <c r="W452">
        <v>5.25</v>
      </c>
      <c r="X452">
        <v>4.5</v>
      </c>
      <c r="Y452">
        <v>1.57</v>
      </c>
      <c r="Z452">
        <v>5.76</v>
      </c>
      <c r="AA452">
        <v>4.8600000000000003</v>
      </c>
      <c r="AB452">
        <v>1.55</v>
      </c>
      <c r="AC452">
        <v>5.8</v>
      </c>
      <c r="AD452">
        <v>4.5</v>
      </c>
      <c r="AE452">
        <v>1.5</v>
      </c>
      <c r="AF452">
        <v>5.5</v>
      </c>
      <c r="AG452">
        <v>4.75</v>
      </c>
      <c r="AH452">
        <v>1.5</v>
      </c>
      <c r="AI452">
        <v>6.2</v>
      </c>
      <c r="AJ452">
        <v>5.18</v>
      </c>
      <c r="AK452">
        <v>1.57</v>
      </c>
      <c r="AL452">
        <v>5.66</v>
      </c>
      <c r="AM452">
        <v>4.82</v>
      </c>
      <c r="AN452">
        <v>1.52</v>
      </c>
      <c r="AO452">
        <v>1</v>
      </c>
      <c r="AP452">
        <v>0.16270862260066499</v>
      </c>
      <c r="AQ452">
        <v>0.19474777222473399</v>
      </c>
      <c r="AR452">
        <v>0.64254360517459996</v>
      </c>
      <c r="AS452">
        <v>1</v>
      </c>
      <c r="AT452">
        <v>8.7934601241232892E-3</v>
      </c>
      <c r="AU452">
        <v>3.0809094949051099</v>
      </c>
      <c r="AV452">
        <f t="shared" si="35"/>
        <v>4687118518927071</v>
      </c>
      <c r="AW452">
        <f t="shared" si="36"/>
        <v>762634598180692.88</v>
      </c>
      <c r="AX452">
        <f t="shared" si="37"/>
        <v>912805889714342.88</v>
      </c>
      <c r="AY452">
        <f t="shared" si="38"/>
        <v>3011678031032035.5</v>
      </c>
      <c r="AZ452" cm="1">
        <f t="array" ref="AZ452">_xlfn.IFS(E452="H",AW452*AI452-AV452,E452="D",AX452*AJ452-AV452,E452="A",AY452*AK452-AV452)</f>
        <v>41215989793225</v>
      </c>
      <c r="BA452">
        <f t="shared" si="39"/>
        <v>438486305310477.38</v>
      </c>
    </row>
    <row r="453" spans="1:53" x14ac:dyDescent="0.2">
      <c r="A453">
        <v>31</v>
      </c>
      <c r="B453" t="s">
        <v>55</v>
      </c>
      <c r="C453" s="1">
        <v>44653</v>
      </c>
      <c r="D453" t="s">
        <v>90</v>
      </c>
      <c r="E453" t="s">
        <v>49</v>
      </c>
      <c r="F453" t="s">
        <v>404</v>
      </c>
      <c r="G453" t="s">
        <v>213</v>
      </c>
      <c r="H453">
        <v>31012</v>
      </c>
      <c r="I453" t="s">
        <v>463</v>
      </c>
      <c r="J453" t="s">
        <v>467</v>
      </c>
      <c r="K453" t="s">
        <v>54</v>
      </c>
      <c r="L453">
        <v>2022</v>
      </c>
      <c r="M453">
        <v>1.5</v>
      </c>
      <c r="N453">
        <v>2</v>
      </c>
      <c r="O453">
        <v>1.5</v>
      </c>
      <c r="P453">
        <v>1.5</v>
      </c>
      <c r="Q453">
        <v>3</v>
      </c>
      <c r="R453">
        <v>3.1</v>
      </c>
      <c r="S453">
        <v>2.5499999999999998</v>
      </c>
      <c r="T453">
        <v>2.9</v>
      </c>
      <c r="U453">
        <v>3</v>
      </c>
      <c r="V453">
        <v>2.6</v>
      </c>
      <c r="W453">
        <v>3</v>
      </c>
      <c r="X453">
        <v>3.05</v>
      </c>
      <c r="Y453">
        <v>2.5499999999999998</v>
      </c>
      <c r="Z453">
        <v>3.11</v>
      </c>
      <c r="AA453">
        <v>3.13</v>
      </c>
      <c r="AB453">
        <v>2.63</v>
      </c>
      <c r="AC453">
        <v>3</v>
      </c>
      <c r="AD453">
        <v>3</v>
      </c>
      <c r="AE453">
        <v>2.5499999999999998</v>
      </c>
      <c r="AF453">
        <v>3</v>
      </c>
      <c r="AG453">
        <v>3</v>
      </c>
      <c r="AH453">
        <v>2.5</v>
      </c>
      <c r="AI453">
        <v>3.13</v>
      </c>
      <c r="AJ453">
        <v>3.3</v>
      </c>
      <c r="AK453">
        <v>2.71</v>
      </c>
      <c r="AL453">
        <v>3.01</v>
      </c>
      <c r="AM453">
        <v>3.1</v>
      </c>
      <c r="AN453">
        <v>2.59</v>
      </c>
      <c r="AO453">
        <v>1</v>
      </c>
      <c r="AP453">
        <v>0.32222034063190202</v>
      </c>
      <c r="AQ453">
        <v>0.305621110962985</v>
      </c>
      <c r="AR453">
        <v>0.37215854840511198</v>
      </c>
      <c r="AS453">
        <v>1</v>
      </c>
      <c r="AT453">
        <v>8.5496661778534603E-3</v>
      </c>
      <c r="AU453">
        <v>3.08945916108296</v>
      </c>
      <c r="AV453">
        <f t="shared" si="35"/>
        <v>5125604824237548</v>
      </c>
      <c r="AW453">
        <f t="shared" si="36"/>
        <v>1651574132410343.5</v>
      </c>
      <c r="AX453">
        <f t="shared" si="37"/>
        <v>1566493040740719.5</v>
      </c>
      <c r="AY453">
        <f t="shared" si="38"/>
        <v>1907537651086484.8</v>
      </c>
      <c r="AZ453" cm="1">
        <f t="array" ref="AZ453">_xlfn.IFS(E453="H",AW453*AI453-AV453,E453="D",AX453*AJ453-AV453,E453="A",AY453*AK453-AV453)</f>
        <v>43822210206827</v>
      </c>
      <c r="BA453">
        <f t="shared" si="39"/>
        <v>482308515517304.38</v>
      </c>
    </row>
    <row r="454" spans="1:53" x14ac:dyDescent="0.2">
      <c r="A454">
        <v>28</v>
      </c>
      <c r="B454" t="s">
        <v>67</v>
      </c>
      <c r="C454" s="1">
        <v>44654</v>
      </c>
      <c r="D454" t="s">
        <v>73</v>
      </c>
      <c r="E454" t="s">
        <v>49</v>
      </c>
      <c r="F454" t="s">
        <v>148</v>
      </c>
      <c r="G454" t="s">
        <v>261</v>
      </c>
      <c r="H454">
        <v>23143</v>
      </c>
      <c r="I454" t="s">
        <v>367</v>
      </c>
      <c r="J454" t="s">
        <v>336</v>
      </c>
      <c r="K454" t="s">
        <v>54</v>
      </c>
      <c r="L454">
        <v>2022</v>
      </c>
      <c r="M454">
        <v>1.25</v>
      </c>
      <c r="N454">
        <v>1.25</v>
      </c>
      <c r="O454">
        <v>1</v>
      </c>
      <c r="P454">
        <v>1.5</v>
      </c>
      <c r="Q454">
        <v>2.8</v>
      </c>
      <c r="R454">
        <v>3.4</v>
      </c>
      <c r="S454">
        <v>2.5</v>
      </c>
      <c r="T454">
        <v>3</v>
      </c>
      <c r="U454">
        <v>3.2</v>
      </c>
      <c r="V454">
        <v>2.4500000000000002</v>
      </c>
      <c r="W454">
        <v>2.9</v>
      </c>
      <c r="X454">
        <v>3.3</v>
      </c>
      <c r="Y454">
        <v>2.5</v>
      </c>
      <c r="Z454">
        <v>3.12</v>
      </c>
      <c r="AA454">
        <v>3.31</v>
      </c>
      <c r="AB454">
        <v>2.5</v>
      </c>
      <c r="AC454">
        <v>2.88</v>
      </c>
      <c r="AD454">
        <v>3.25</v>
      </c>
      <c r="AE454">
        <v>2.4500000000000002</v>
      </c>
      <c r="AF454">
        <v>2.88</v>
      </c>
      <c r="AG454">
        <v>3.3</v>
      </c>
      <c r="AH454">
        <v>2.4500000000000002</v>
      </c>
      <c r="AI454">
        <v>3.13</v>
      </c>
      <c r="AJ454">
        <v>3.46</v>
      </c>
      <c r="AK454">
        <v>2.58</v>
      </c>
      <c r="AL454">
        <v>2.97</v>
      </c>
      <c r="AM454">
        <v>3.29</v>
      </c>
      <c r="AN454">
        <v>2.4900000000000002</v>
      </c>
      <c r="AO454">
        <v>1</v>
      </c>
      <c r="AP454">
        <v>0.32073871802241999</v>
      </c>
      <c r="AQ454">
        <v>0.29014803104340298</v>
      </c>
      <c r="AR454">
        <v>0.38911325093417598</v>
      </c>
      <c r="AS454">
        <v>1</v>
      </c>
      <c r="AT454">
        <v>3.9121874101752897E-3</v>
      </c>
      <c r="AU454">
        <v>3.09337134849314</v>
      </c>
      <c r="AV454">
        <f t="shared" si="35"/>
        <v>5607913339754852</v>
      </c>
      <c r="AW454">
        <f t="shared" si="36"/>
        <v>1798674935373800.2</v>
      </c>
      <c r="AX454">
        <f t="shared" si="37"/>
        <v>1627125013791906.2</v>
      </c>
      <c r="AY454">
        <f t="shared" si="38"/>
        <v>2182113390589145.2</v>
      </c>
      <c r="AZ454" cm="1">
        <f t="array" ref="AZ454">_xlfn.IFS(E454="H",AW454*AI454-AV454,E454="D",AX454*AJ454-AV454,E454="A",AY454*AK454-AV454)</f>
        <v>21939207965143</v>
      </c>
      <c r="BA454">
        <f t="shared" si="39"/>
        <v>504247723482447.38</v>
      </c>
    </row>
    <row r="455" spans="1:53" x14ac:dyDescent="0.2">
      <c r="A455">
        <v>31</v>
      </c>
      <c r="B455" t="s">
        <v>67</v>
      </c>
      <c r="C455" s="1">
        <v>44654</v>
      </c>
      <c r="D455" t="s">
        <v>107</v>
      </c>
      <c r="E455" t="s">
        <v>74</v>
      </c>
      <c r="F455" t="s">
        <v>278</v>
      </c>
      <c r="G455" t="s">
        <v>108</v>
      </c>
      <c r="H455">
        <v>16465</v>
      </c>
      <c r="I455" t="s">
        <v>275</v>
      </c>
      <c r="J455" t="s">
        <v>186</v>
      </c>
      <c r="K455" t="s">
        <v>54</v>
      </c>
      <c r="L455">
        <v>2022</v>
      </c>
      <c r="M455">
        <v>1.5</v>
      </c>
      <c r="N455">
        <v>2</v>
      </c>
      <c r="O455">
        <v>2</v>
      </c>
      <c r="P455">
        <v>2</v>
      </c>
      <c r="Q455">
        <v>4</v>
      </c>
      <c r="R455">
        <v>3.8</v>
      </c>
      <c r="S455">
        <v>1.85</v>
      </c>
      <c r="T455">
        <v>4</v>
      </c>
      <c r="U455">
        <v>3.6</v>
      </c>
      <c r="V455">
        <v>1.88</v>
      </c>
      <c r="W455">
        <v>4</v>
      </c>
      <c r="X455">
        <v>3.65</v>
      </c>
      <c r="Y455">
        <v>1.9</v>
      </c>
      <c r="Z455">
        <v>4.37</v>
      </c>
      <c r="AA455">
        <v>3.74</v>
      </c>
      <c r="AB455">
        <v>1.89</v>
      </c>
      <c r="AC455">
        <v>4.2</v>
      </c>
      <c r="AD455">
        <v>3.5</v>
      </c>
      <c r="AE455">
        <v>1.88</v>
      </c>
      <c r="AF455">
        <v>4.33</v>
      </c>
      <c r="AG455">
        <v>3.4</v>
      </c>
      <c r="AH455">
        <v>1.87</v>
      </c>
      <c r="AI455">
        <v>4.4000000000000004</v>
      </c>
      <c r="AJ455">
        <v>3.88</v>
      </c>
      <c r="AK455">
        <v>1.95</v>
      </c>
      <c r="AL455">
        <v>4.18</v>
      </c>
      <c r="AM455">
        <v>3.65</v>
      </c>
      <c r="AN455">
        <v>1.89</v>
      </c>
      <c r="AO455">
        <v>1</v>
      </c>
      <c r="AP455">
        <v>0.22776807754831699</v>
      </c>
      <c r="AQ455">
        <v>0.25829369618881298</v>
      </c>
      <c r="AR455">
        <v>0.513938226262869</v>
      </c>
      <c r="AS455">
        <v>1</v>
      </c>
      <c r="AT455">
        <v>2.1795412125955498E-3</v>
      </c>
      <c r="AU455">
        <v>3.0955508897057298</v>
      </c>
      <c r="AV455">
        <f t="shared" si="35"/>
        <v>6112161063237299</v>
      </c>
      <c r="AW455">
        <f t="shared" si="36"/>
        <v>1392155175039237.8</v>
      </c>
      <c r="AX455">
        <f t="shared" si="37"/>
        <v>1578732672724909</v>
      </c>
      <c r="AY455">
        <f t="shared" si="38"/>
        <v>3141273215473152.5</v>
      </c>
      <c r="AZ455" cm="1">
        <f t="array" ref="AZ455">_xlfn.IFS(E455="H",AW455*AI455-AV455,E455="D",AX455*AJ455-AV455,E455="A",AY455*AK455-AV455)</f>
        <v>13321706935348</v>
      </c>
      <c r="BA455">
        <f t="shared" si="39"/>
        <v>517569430417795.38</v>
      </c>
    </row>
    <row r="456" spans="1:53" x14ac:dyDescent="0.2">
      <c r="A456">
        <v>30</v>
      </c>
      <c r="B456" t="s">
        <v>198</v>
      </c>
      <c r="C456" s="1">
        <v>44655</v>
      </c>
      <c r="D456" t="s">
        <v>68</v>
      </c>
      <c r="E456" t="s">
        <v>49</v>
      </c>
      <c r="F456" t="s">
        <v>158</v>
      </c>
      <c r="G456" t="s">
        <v>114</v>
      </c>
      <c r="H456">
        <v>20869</v>
      </c>
      <c r="I456" t="s">
        <v>266</v>
      </c>
      <c r="J456" t="s">
        <v>385</v>
      </c>
      <c r="K456" t="s">
        <v>54</v>
      </c>
      <c r="L456">
        <v>2022</v>
      </c>
      <c r="M456">
        <v>2.5</v>
      </c>
      <c r="N456">
        <v>1</v>
      </c>
      <c r="O456">
        <v>0.5</v>
      </c>
      <c r="P456">
        <v>1.25</v>
      </c>
      <c r="Q456">
        <v>1.6</v>
      </c>
      <c r="R456">
        <v>4</v>
      </c>
      <c r="S456">
        <v>5.75</v>
      </c>
      <c r="T456">
        <v>1.57</v>
      </c>
      <c r="U456">
        <v>4.0999999999999996</v>
      </c>
      <c r="V456">
        <v>5.75</v>
      </c>
      <c r="W456">
        <v>1.6</v>
      </c>
      <c r="X456">
        <v>3.95</v>
      </c>
      <c r="Y456">
        <v>5.75</v>
      </c>
      <c r="Z456">
        <v>1.58</v>
      </c>
      <c r="AA456">
        <v>4.32</v>
      </c>
      <c r="AB456">
        <v>6.16</v>
      </c>
      <c r="AC456">
        <v>1.6</v>
      </c>
      <c r="AD456">
        <v>3.8</v>
      </c>
      <c r="AE456">
        <v>5.8</v>
      </c>
      <c r="AF456">
        <v>1.57</v>
      </c>
      <c r="AG456">
        <v>3.8</v>
      </c>
      <c r="AH456">
        <v>5.75</v>
      </c>
      <c r="AI456">
        <v>1.66</v>
      </c>
      <c r="AJ456">
        <v>4.33</v>
      </c>
      <c r="AK456">
        <v>6.3</v>
      </c>
      <c r="AL456">
        <v>1.61</v>
      </c>
      <c r="AM456">
        <v>4.04</v>
      </c>
      <c r="AN456">
        <v>5.83</v>
      </c>
      <c r="AO456">
        <v>1</v>
      </c>
      <c r="AP456">
        <v>0.60721472327088799</v>
      </c>
      <c r="AQ456">
        <v>0.23278901631170301</v>
      </c>
      <c r="AR456">
        <v>0.159996260417408</v>
      </c>
      <c r="AS456">
        <v>1</v>
      </c>
      <c r="AT456">
        <v>7.9764406296744996E-3</v>
      </c>
      <c r="AU456">
        <v>3.1035273303354098</v>
      </c>
      <c r="AV456">
        <f t="shared" si="35"/>
        <v>6629730493655094</v>
      </c>
      <c r="AW456">
        <f t="shared" si="36"/>
        <v>4025669967065347.5</v>
      </c>
      <c r="AX456">
        <f t="shared" si="37"/>
        <v>1543328440029671.2</v>
      </c>
      <c r="AY456">
        <f t="shared" si="38"/>
        <v>1060732086560075.6</v>
      </c>
      <c r="AZ456" cm="1">
        <f t="array" ref="AZ456">_xlfn.IFS(E456="H",AW456*AI456-AV456,E456="D",AX456*AJ456-AV456,E456="A",AY456*AK456-AV456)</f>
        <v>52881651673383</v>
      </c>
      <c r="BA456">
        <f t="shared" si="39"/>
        <v>570451082091178.38</v>
      </c>
    </row>
    <row r="457" spans="1:53" x14ac:dyDescent="0.2">
      <c r="A457">
        <v>31</v>
      </c>
      <c r="B457" t="s">
        <v>47</v>
      </c>
      <c r="C457" s="1">
        <v>44659</v>
      </c>
      <c r="D457" t="s">
        <v>68</v>
      </c>
      <c r="E457" t="s">
        <v>49</v>
      </c>
      <c r="F457" t="s">
        <v>340</v>
      </c>
      <c r="G457" t="s">
        <v>217</v>
      </c>
      <c r="H457">
        <v>15407</v>
      </c>
      <c r="I457" t="s">
        <v>341</v>
      </c>
      <c r="J457" t="s">
        <v>85</v>
      </c>
      <c r="K457" t="s">
        <v>54</v>
      </c>
      <c r="L457">
        <v>2022</v>
      </c>
      <c r="M457">
        <v>1</v>
      </c>
      <c r="N457">
        <v>0.75</v>
      </c>
      <c r="O457">
        <v>1.75</v>
      </c>
      <c r="P457">
        <v>1</v>
      </c>
      <c r="Q457">
        <v>2.15</v>
      </c>
      <c r="R457">
        <v>3.1</v>
      </c>
      <c r="S457">
        <v>3.8</v>
      </c>
      <c r="T457">
        <v>2.2000000000000002</v>
      </c>
      <c r="U457">
        <v>3.1</v>
      </c>
      <c r="V457">
        <v>3.6</v>
      </c>
      <c r="W457">
        <v>2.25</v>
      </c>
      <c r="X457">
        <v>3.05</v>
      </c>
      <c r="Y457">
        <v>3.65</v>
      </c>
      <c r="Z457">
        <v>2.25</v>
      </c>
      <c r="AA457">
        <v>3.13</v>
      </c>
      <c r="AB457">
        <v>3.87</v>
      </c>
      <c r="AC457">
        <v>2.2000000000000002</v>
      </c>
      <c r="AD457">
        <v>3.1</v>
      </c>
      <c r="AE457">
        <v>3.5</v>
      </c>
      <c r="AF457">
        <v>2.15</v>
      </c>
      <c r="AG457">
        <v>3.1</v>
      </c>
      <c r="AH457">
        <v>3.75</v>
      </c>
      <c r="AI457">
        <v>2.2999999999999998</v>
      </c>
      <c r="AJ457">
        <v>3.34</v>
      </c>
      <c r="AK457">
        <v>3.88</v>
      </c>
      <c r="AL457">
        <v>2.21</v>
      </c>
      <c r="AM457">
        <v>3.11</v>
      </c>
      <c r="AN457">
        <v>3.71</v>
      </c>
      <c r="AO457">
        <v>1</v>
      </c>
      <c r="AP457">
        <v>0.43832614019184701</v>
      </c>
      <c r="AQ457">
        <v>0.30184135402432499</v>
      </c>
      <c r="AR457">
        <v>0.259832505783826</v>
      </c>
      <c r="AS457">
        <v>1</v>
      </c>
      <c r="AT457">
        <v>8.1501224412483496E-3</v>
      </c>
      <c r="AU457">
        <v>3.1116774527766502</v>
      </c>
      <c r="AV457">
        <f t="shared" si="35"/>
        <v>7200181575746272</v>
      </c>
      <c r="AW457">
        <f t="shared" si="36"/>
        <v>3156027798777315.5</v>
      </c>
      <c r="AX457">
        <f t="shared" si="37"/>
        <v>2173312556044259</v>
      </c>
      <c r="AY457">
        <f t="shared" si="38"/>
        <v>1870841220924697.2</v>
      </c>
      <c r="AZ457" cm="1">
        <f t="array" ref="AZ457">_xlfn.IFS(E457="H",AW457*AI457-AV457,E457="D",AX457*AJ457-AV457,E457="A",AY457*AK457-AV457)</f>
        <v>58682361441553</v>
      </c>
      <c r="BA457">
        <f t="shared" si="39"/>
        <v>629133443532731.38</v>
      </c>
    </row>
    <row r="458" spans="1:53" x14ac:dyDescent="0.2">
      <c r="A458">
        <v>29</v>
      </c>
      <c r="B458" t="s">
        <v>55</v>
      </c>
      <c r="C458" s="1">
        <v>44660</v>
      </c>
      <c r="D458" t="s">
        <v>73</v>
      </c>
      <c r="E458" t="s">
        <v>49</v>
      </c>
      <c r="F458" t="s">
        <v>191</v>
      </c>
      <c r="G458" t="s">
        <v>148</v>
      </c>
      <c r="H458">
        <v>75000</v>
      </c>
      <c r="I458" t="s">
        <v>193</v>
      </c>
      <c r="J458" t="s">
        <v>146</v>
      </c>
      <c r="K458" t="s">
        <v>54</v>
      </c>
      <c r="L458">
        <v>2022</v>
      </c>
      <c r="M458">
        <v>2.5</v>
      </c>
      <c r="N458">
        <v>3</v>
      </c>
      <c r="O458">
        <v>0.75</v>
      </c>
      <c r="P458">
        <v>1.5</v>
      </c>
      <c r="Q458">
        <v>1.1100000000000001</v>
      </c>
      <c r="R458">
        <v>10</v>
      </c>
      <c r="S458">
        <v>19</v>
      </c>
      <c r="T458">
        <v>1.1200000000000001</v>
      </c>
      <c r="U458">
        <v>10</v>
      </c>
      <c r="V458">
        <v>21</v>
      </c>
      <c r="W458">
        <v>1.1499999999999999</v>
      </c>
      <c r="X458">
        <v>9.5</v>
      </c>
      <c r="Y458">
        <v>15</v>
      </c>
      <c r="Z458">
        <v>1.1299999999999999</v>
      </c>
      <c r="AA458">
        <v>10.039999999999999</v>
      </c>
      <c r="AB458">
        <v>22.66</v>
      </c>
      <c r="AC458">
        <v>1.1100000000000001</v>
      </c>
      <c r="AD458">
        <v>9</v>
      </c>
      <c r="AE458">
        <v>19</v>
      </c>
      <c r="AF458">
        <v>1.1000000000000001</v>
      </c>
      <c r="AG458">
        <v>10.5</v>
      </c>
      <c r="AH458">
        <v>18</v>
      </c>
      <c r="AI458">
        <v>1.1499999999999999</v>
      </c>
      <c r="AJ458">
        <v>11.41</v>
      </c>
      <c r="AK458">
        <v>23.78</v>
      </c>
      <c r="AL458">
        <v>1.1200000000000001</v>
      </c>
      <c r="AM458">
        <v>9.91</v>
      </c>
      <c r="AN458">
        <v>19.97</v>
      </c>
      <c r="AO458">
        <v>1</v>
      </c>
      <c r="AP458">
        <v>0.87020936291185602</v>
      </c>
      <c r="AQ458">
        <v>8.7707341573061801E-2</v>
      </c>
      <c r="AR458">
        <v>4.2083295515081297E-2</v>
      </c>
      <c r="AS458">
        <v>1</v>
      </c>
      <c r="AT458" s="2">
        <v>7.4076734863526197E-4</v>
      </c>
      <c r="AU458">
        <v>3.1124182201252899</v>
      </c>
      <c r="AV458">
        <f t="shared" ref="AV458:AV498" si="40">AV457+BA457</f>
        <v>7829315019279003</v>
      </c>
      <c r="AW458">
        <f t="shared" ref="AW458:AW498" si="41">AV458/(1+AI458/AJ458+AI458/AK458)</f>
        <v>6813143234963013</v>
      </c>
      <c r="AX458">
        <f t="shared" ref="AX458:AX498" si="42">AV458/(1+AJ458/AI458+AJ458/AK458)</f>
        <v>686688406679006.5</v>
      </c>
      <c r="AY458">
        <f t="shared" ref="AY458:AY498" si="43">AV458/(1+AK458/AI458+AK458/AJ458)</f>
        <v>329483377636983.31</v>
      </c>
      <c r="AZ458" cm="1">
        <f t="array" ref="AZ458">_xlfn.IFS(E458="H",AW458*AI458-AV458,E458="D",AX458*AJ458-AV458,E458="A",AY458*AK458-AV458)</f>
        <v>5799700928461</v>
      </c>
      <c r="BA458">
        <f t="shared" ref="BA458:BA498" si="44">AZ458+BA457</f>
        <v>634933144461192.38</v>
      </c>
    </row>
    <row r="459" spans="1:53" x14ac:dyDescent="0.2">
      <c r="A459">
        <v>31</v>
      </c>
      <c r="B459" t="s">
        <v>55</v>
      </c>
      <c r="C459" s="1">
        <v>44660</v>
      </c>
      <c r="D459" t="s">
        <v>82</v>
      </c>
      <c r="E459" t="s">
        <v>74</v>
      </c>
      <c r="F459" t="s">
        <v>216</v>
      </c>
      <c r="G459" t="s">
        <v>69</v>
      </c>
      <c r="H459">
        <v>10243</v>
      </c>
      <c r="I459" t="s">
        <v>218</v>
      </c>
      <c r="J459" t="s">
        <v>468</v>
      </c>
      <c r="K459" t="s">
        <v>54</v>
      </c>
      <c r="L459">
        <v>2022</v>
      </c>
      <c r="M459">
        <v>1.5</v>
      </c>
      <c r="N459">
        <v>1.75</v>
      </c>
      <c r="O459">
        <v>1.75</v>
      </c>
      <c r="P459">
        <v>2.25</v>
      </c>
      <c r="Q459">
        <v>4.5</v>
      </c>
      <c r="R459">
        <v>3.5</v>
      </c>
      <c r="S459">
        <v>1.8</v>
      </c>
      <c r="T459">
        <v>4.33</v>
      </c>
      <c r="U459">
        <v>3.5</v>
      </c>
      <c r="V459">
        <v>1.85</v>
      </c>
      <c r="W459">
        <v>4.5999999999999996</v>
      </c>
      <c r="X459">
        <v>3.55</v>
      </c>
      <c r="Y459">
        <v>1.8</v>
      </c>
      <c r="Z459">
        <v>4.74</v>
      </c>
      <c r="AA459">
        <v>3.78</v>
      </c>
      <c r="AB459">
        <v>1.82</v>
      </c>
      <c r="AC459">
        <v>4.5</v>
      </c>
      <c r="AD459">
        <v>3.5</v>
      </c>
      <c r="AE459">
        <v>1.8</v>
      </c>
      <c r="AF459">
        <v>4.75</v>
      </c>
      <c r="AG459">
        <v>3.4</v>
      </c>
      <c r="AH459">
        <v>1.8</v>
      </c>
      <c r="AI459">
        <v>4.75</v>
      </c>
      <c r="AJ459">
        <v>3.79</v>
      </c>
      <c r="AK459">
        <v>1.91</v>
      </c>
      <c r="AL459">
        <v>4.54</v>
      </c>
      <c r="AM459">
        <v>3.6</v>
      </c>
      <c r="AN459">
        <v>1.83</v>
      </c>
      <c r="AO459">
        <v>1</v>
      </c>
      <c r="AP459">
        <v>0.21096115568326501</v>
      </c>
      <c r="AQ459">
        <v>0.26439722677981797</v>
      </c>
      <c r="AR459">
        <v>0.52464161753691596</v>
      </c>
      <c r="AS459">
        <v>1</v>
      </c>
      <c r="AT459">
        <v>2.0654894955105499E-3</v>
      </c>
      <c r="AU459">
        <v>3.1144837096207998</v>
      </c>
      <c r="AV459">
        <f t="shared" si="40"/>
        <v>8464248163740195</v>
      </c>
      <c r="AW459">
        <f t="shared" si="41"/>
        <v>1785627574612588.5</v>
      </c>
      <c r="AX459">
        <f t="shared" si="42"/>
        <v>2237923741269075.2</v>
      </c>
      <c r="AY459">
        <f t="shared" si="43"/>
        <v>4440696847858531</v>
      </c>
      <c r="AZ459" cm="1">
        <f t="array" ref="AZ459">_xlfn.IFS(E459="H",AW459*AI459-AV459,E459="D",AX459*AJ459-AV459,E459="A",AY459*AK459-AV459)</f>
        <v>17482815669599</v>
      </c>
      <c r="BA459">
        <f t="shared" si="44"/>
        <v>652415960130791.38</v>
      </c>
    </row>
    <row r="460" spans="1:53" x14ac:dyDescent="0.2">
      <c r="A460">
        <v>29</v>
      </c>
      <c r="B460" t="s">
        <v>67</v>
      </c>
      <c r="C460" s="1">
        <v>44661</v>
      </c>
      <c r="D460" t="s">
        <v>270</v>
      </c>
      <c r="E460" t="s">
        <v>49</v>
      </c>
      <c r="F460" t="s">
        <v>204</v>
      </c>
      <c r="G460" t="s">
        <v>138</v>
      </c>
      <c r="H460">
        <v>35112</v>
      </c>
      <c r="I460" t="s">
        <v>205</v>
      </c>
      <c r="J460" t="s">
        <v>257</v>
      </c>
      <c r="K460" t="s">
        <v>54</v>
      </c>
      <c r="L460">
        <v>2022</v>
      </c>
      <c r="M460">
        <v>2</v>
      </c>
      <c r="N460">
        <v>1.5</v>
      </c>
      <c r="O460">
        <v>1.5</v>
      </c>
      <c r="P460">
        <v>0.75</v>
      </c>
      <c r="Q460">
        <v>1.5</v>
      </c>
      <c r="R460">
        <v>4.75</v>
      </c>
      <c r="S460">
        <v>6</v>
      </c>
      <c r="T460">
        <v>1.53</v>
      </c>
      <c r="U460">
        <v>4.5999999999999996</v>
      </c>
      <c r="V460">
        <v>5.5</v>
      </c>
      <c r="W460">
        <v>1.47</v>
      </c>
      <c r="X460">
        <v>4.9000000000000004</v>
      </c>
      <c r="Y460">
        <v>6</v>
      </c>
      <c r="Z460">
        <v>1.51</v>
      </c>
      <c r="AA460">
        <v>4.95</v>
      </c>
      <c r="AB460">
        <v>6.16</v>
      </c>
      <c r="AC460">
        <v>1.47</v>
      </c>
      <c r="AD460">
        <v>4.5999999999999996</v>
      </c>
      <c r="AE460">
        <v>6</v>
      </c>
      <c r="AF460">
        <v>1.5</v>
      </c>
      <c r="AG460">
        <v>4.8</v>
      </c>
      <c r="AH460">
        <v>5.75</v>
      </c>
      <c r="AI460">
        <v>1.53</v>
      </c>
      <c r="AJ460">
        <v>5.2</v>
      </c>
      <c r="AK460">
        <v>6.5</v>
      </c>
      <c r="AL460">
        <v>1.5</v>
      </c>
      <c r="AM460">
        <v>4.79</v>
      </c>
      <c r="AN460">
        <v>5.99</v>
      </c>
      <c r="AO460">
        <v>1</v>
      </c>
      <c r="AP460">
        <v>0.65375911491073602</v>
      </c>
      <c r="AQ460">
        <v>0.19235604727181199</v>
      </c>
      <c r="AR460">
        <v>0.15388483781744999</v>
      </c>
      <c r="AS460">
        <v>1</v>
      </c>
      <c r="AT460" s="2">
        <v>2.5144581342728602E-4</v>
      </c>
      <c r="AU460">
        <v>3.11473515543423</v>
      </c>
      <c r="AV460">
        <f t="shared" si="40"/>
        <v>9116664123870986</v>
      </c>
      <c r="AW460">
        <f t="shared" si="41"/>
        <v>5960102268560363</v>
      </c>
      <c r="AX460">
        <f t="shared" si="42"/>
        <v>1753645475172568.2</v>
      </c>
      <c r="AY460">
        <f t="shared" si="43"/>
        <v>1402916380138054.8</v>
      </c>
      <c r="AZ460" cm="1">
        <f t="array" ref="AZ460">_xlfn.IFS(E460="H",AW460*AI460-AV460,E460="D",AX460*AJ460-AV460,E460="A",AY460*AK460-AV460)</f>
        <v>2292347026370</v>
      </c>
      <c r="BA460">
        <f t="shared" si="44"/>
        <v>654708307157161.38</v>
      </c>
    </row>
    <row r="461" spans="1:53" x14ac:dyDescent="0.2">
      <c r="A461">
        <v>32</v>
      </c>
      <c r="B461" t="s">
        <v>67</v>
      </c>
      <c r="C461" s="1">
        <v>44661</v>
      </c>
      <c r="D461" t="s">
        <v>107</v>
      </c>
      <c r="E461" t="s">
        <v>49</v>
      </c>
      <c r="F461" t="s">
        <v>108</v>
      </c>
      <c r="G461" t="s">
        <v>447</v>
      </c>
      <c r="H461">
        <v>64266</v>
      </c>
      <c r="I461" t="s">
        <v>110</v>
      </c>
      <c r="J461" t="s">
        <v>144</v>
      </c>
      <c r="K461" t="s">
        <v>54</v>
      </c>
      <c r="L461">
        <v>2022</v>
      </c>
      <c r="M461">
        <v>2</v>
      </c>
      <c r="N461">
        <v>1.5</v>
      </c>
      <c r="O461">
        <v>0.25</v>
      </c>
      <c r="P461">
        <v>0.5</v>
      </c>
      <c r="Q461">
        <v>1.28</v>
      </c>
      <c r="R461">
        <v>5.75</v>
      </c>
      <c r="S461">
        <v>11</v>
      </c>
      <c r="T461">
        <v>1.27</v>
      </c>
      <c r="U461">
        <v>6</v>
      </c>
      <c r="V461">
        <v>10.5</v>
      </c>
      <c r="W461">
        <v>1.3</v>
      </c>
      <c r="X461">
        <v>5.75</v>
      </c>
      <c r="Y461">
        <v>10</v>
      </c>
      <c r="Z461">
        <v>1.29</v>
      </c>
      <c r="AA461">
        <v>5.92</v>
      </c>
      <c r="AB461">
        <v>12.16</v>
      </c>
      <c r="AC461">
        <v>1.24</v>
      </c>
      <c r="AD461">
        <v>5.5</v>
      </c>
      <c r="AE461">
        <v>15</v>
      </c>
      <c r="AF461">
        <v>1.22</v>
      </c>
      <c r="AG461">
        <v>5.5</v>
      </c>
      <c r="AH461">
        <v>15</v>
      </c>
      <c r="AI461">
        <v>1.33</v>
      </c>
      <c r="AJ461">
        <v>6.05</v>
      </c>
      <c r="AK461">
        <v>15</v>
      </c>
      <c r="AL461">
        <v>1.28</v>
      </c>
      <c r="AM461">
        <v>5.82</v>
      </c>
      <c r="AN461">
        <v>11.15</v>
      </c>
      <c r="AO461">
        <v>1</v>
      </c>
      <c r="AP461">
        <v>0.76423305107939998</v>
      </c>
      <c r="AQ461">
        <v>0.16800495172489199</v>
      </c>
      <c r="AR461">
        <v>6.7761997195706802E-2</v>
      </c>
      <c r="AS461">
        <v>1</v>
      </c>
      <c r="AT461">
        <v>1.64299579356024E-2</v>
      </c>
      <c r="AU461">
        <v>3.1311651133698302</v>
      </c>
      <c r="AV461">
        <f t="shared" si="40"/>
        <v>9771372431028148</v>
      </c>
      <c r="AW461">
        <f t="shared" si="41"/>
        <v>7467605766197778</v>
      </c>
      <c r="AX461">
        <f t="shared" si="42"/>
        <v>1641638953560834</v>
      </c>
      <c r="AY461">
        <f t="shared" si="43"/>
        <v>662127711269536.38</v>
      </c>
      <c r="AZ461" cm="1">
        <f t="array" ref="AZ461">_xlfn.IFS(E461="H",AW461*AI461-AV461,E461="D",AX461*AJ461-AV461,E461="A",AY461*AK461-AV461)</f>
        <v>160543238014898</v>
      </c>
      <c r="BA461">
        <f t="shared" si="44"/>
        <v>815251545172059.38</v>
      </c>
    </row>
    <row r="462" spans="1:53" x14ac:dyDescent="0.2">
      <c r="A462">
        <v>32</v>
      </c>
      <c r="B462" t="s">
        <v>67</v>
      </c>
      <c r="C462" s="1">
        <v>44661</v>
      </c>
      <c r="D462" t="s">
        <v>48</v>
      </c>
      <c r="E462" t="s">
        <v>57</v>
      </c>
      <c r="F462" t="s">
        <v>375</v>
      </c>
      <c r="G462" t="s">
        <v>243</v>
      </c>
      <c r="H462">
        <v>23472</v>
      </c>
      <c r="I462" t="s">
        <v>377</v>
      </c>
      <c r="J462" t="s">
        <v>196</v>
      </c>
      <c r="K462" t="s">
        <v>54</v>
      </c>
      <c r="L462">
        <v>2022</v>
      </c>
      <c r="M462">
        <v>0.5</v>
      </c>
      <c r="N462">
        <v>1</v>
      </c>
      <c r="O462">
        <v>2.5</v>
      </c>
      <c r="P462">
        <v>1.5</v>
      </c>
      <c r="Q462">
        <v>4.2</v>
      </c>
      <c r="R462">
        <v>3.5</v>
      </c>
      <c r="S462">
        <v>1.9</v>
      </c>
      <c r="T462">
        <v>4.0999999999999996</v>
      </c>
      <c r="U462">
        <v>3.4</v>
      </c>
      <c r="V462">
        <v>1.93</v>
      </c>
      <c r="W462">
        <v>4.2</v>
      </c>
      <c r="X462">
        <v>3.5</v>
      </c>
      <c r="Y462">
        <v>1.9</v>
      </c>
      <c r="Z462">
        <v>4.33</v>
      </c>
      <c r="AA462">
        <v>3.58</v>
      </c>
      <c r="AB462">
        <v>1.95</v>
      </c>
      <c r="AC462">
        <v>4.2</v>
      </c>
      <c r="AD462">
        <v>3.4</v>
      </c>
      <c r="AE462">
        <v>1.88</v>
      </c>
      <c r="AF462">
        <v>4.4000000000000004</v>
      </c>
      <c r="AG462">
        <v>3.3</v>
      </c>
      <c r="AH462">
        <v>1.9</v>
      </c>
      <c r="AI462">
        <v>4.4000000000000004</v>
      </c>
      <c r="AJ462">
        <v>3.72</v>
      </c>
      <c r="AK462">
        <v>2.0499999999999998</v>
      </c>
      <c r="AL462">
        <v>4.1900000000000004</v>
      </c>
      <c r="AM462">
        <v>3.51</v>
      </c>
      <c r="AN462">
        <v>1.94</v>
      </c>
      <c r="AO462">
        <v>1</v>
      </c>
      <c r="AP462">
        <v>0.23099291209789699</v>
      </c>
      <c r="AQ462">
        <v>0.27321742291149198</v>
      </c>
      <c r="AR462">
        <v>0.49578966499061</v>
      </c>
      <c r="AS462">
        <v>1</v>
      </c>
      <c r="AT462">
        <v>1.6368813230750599E-2</v>
      </c>
      <c r="AU462">
        <v>3.14753392660058</v>
      </c>
      <c r="AV462">
        <f t="shared" si="40"/>
        <v>1.0586623976200208E+16</v>
      </c>
      <c r="AW462">
        <f t="shared" si="41"/>
        <v>2445435101547912</v>
      </c>
      <c r="AX462">
        <f t="shared" si="42"/>
        <v>2892450120110434</v>
      </c>
      <c r="AY462">
        <f t="shared" si="43"/>
        <v>5248738754541862</v>
      </c>
      <c r="AZ462" cm="1">
        <f t="array" ref="AZ462">_xlfn.IFS(E462="H",AW462*AI462-AV462,E462="D",AX462*AJ462-AV462,E462="A",AY462*AK462-AV462)</f>
        <v>173290470610608</v>
      </c>
      <c r="BA462">
        <f t="shared" si="44"/>
        <v>988542015782667.38</v>
      </c>
    </row>
    <row r="463" spans="1:53" x14ac:dyDescent="0.2">
      <c r="A463">
        <v>31</v>
      </c>
      <c r="B463" t="s">
        <v>67</v>
      </c>
      <c r="C463" s="1">
        <v>44661</v>
      </c>
      <c r="D463" t="s">
        <v>329</v>
      </c>
      <c r="E463" t="s">
        <v>49</v>
      </c>
      <c r="F463" t="s">
        <v>63</v>
      </c>
      <c r="G463" t="s">
        <v>79</v>
      </c>
      <c r="H463">
        <v>21652</v>
      </c>
      <c r="I463" t="s">
        <v>65</v>
      </c>
      <c r="J463" t="s">
        <v>408</v>
      </c>
      <c r="K463" t="s">
        <v>54</v>
      </c>
      <c r="L463">
        <v>2022</v>
      </c>
      <c r="M463">
        <v>1</v>
      </c>
      <c r="N463">
        <v>1.25</v>
      </c>
      <c r="O463">
        <v>0.5</v>
      </c>
      <c r="P463">
        <v>0.25</v>
      </c>
      <c r="Q463">
        <v>1.9</v>
      </c>
      <c r="R463">
        <v>3.5</v>
      </c>
      <c r="S463">
        <v>4.2</v>
      </c>
      <c r="T463">
        <v>1.93</v>
      </c>
      <c r="U463">
        <v>3.4</v>
      </c>
      <c r="V463">
        <v>4</v>
      </c>
      <c r="W463">
        <v>1.95</v>
      </c>
      <c r="X463">
        <v>3.45</v>
      </c>
      <c r="Y463">
        <v>4</v>
      </c>
      <c r="Z463">
        <v>1.99</v>
      </c>
      <c r="AA463">
        <v>3.51</v>
      </c>
      <c r="AB463">
        <v>4.25</v>
      </c>
      <c r="AC463">
        <v>1.95</v>
      </c>
      <c r="AD463">
        <v>3.4</v>
      </c>
      <c r="AE463">
        <v>4</v>
      </c>
      <c r="AF463">
        <v>1.93</v>
      </c>
      <c r="AG463">
        <v>3.3</v>
      </c>
      <c r="AH463">
        <v>4.2</v>
      </c>
      <c r="AI463">
        <v>2.0499999999999998</v>
      </c>
      <c r="AJ463">
        <v>3.62</v>
      </c>
      <c r="AK463">
        <v>4.46</v>
      </c>
      <c r="AL463">
        <v>1.96</v>
      </c>
      <c r="AM463">
        <v>3.46</v>
      </c>
      <c r="AN463">
        <v>4.0599999999999996</v>
      </c>
      <c r="AO463">
        <v>1</v>
      </c>
      <c r="AP463">
        <v>0.49359813141256897</v>
      </c>
      <c r="AQ463">
        <v>0.27952380370048702</v>
      </c>
      <c r="AR463">
        <v>0.22687806488694301</v>
      </c>
      <c r="AS463">
        <v>1</v>
      </c>
      <c r="AT463">
        <v>1.1876169395766301E-2</v>
      </c>
      <c r="AU463">
        <v>3.1594100959963498</v>
      </c>
      <c r="AV463">
        <f t="shared" si="40"/>
        <v>1.1575165991982876E+16</v>
      </c>
      <c r="AW463">
        <f t="shared" si="41"/>
        <v>5713480304433063</v>
      </c>
      <c r="AX463">
        <f t="shared" si="42"/>
        <v>3235534426543585</v>
      </c>
      <c r="AY463">
        <f t="shared" si="43"/>
        <v>2626151261006228</v>
      </c>
      <c r="AZ463" cm="1">
        <f t="array" ref="AZ463">_xlfn.IFS(E463="H",AW463*AI463-AV463,E463="D",AX463*AJ463-AV463,E463="A",AY463*AK463-AV463)</f>
        <v>137468632104902</v>
      </c>
      <c r="BA463">
        <f t="shared" si="44"/>
        <v>1126010647887569.5</v>
      </c>
    </row>
    <row r="464" spans="1:53" x14ac:dyDescent="0.2">
      <c r="A464">
        <v>32</v>
      </c>
      <c r="B464" t="s">
        <v>47</v>
      </c>
      <c r="C464" s="1">
        <v>44666</v>
      </c>
      <c r="D464" t="s">
        <v>68</v>
      </c>
      <c r="E464" t="s">
        <v>74</v>
      </c>
      <c r="F464" t="s">
        <v>69</v>
      </c>
      <c r="G464" t="s">
        <v>135</v>
      </c>
      <c r="H464">
        <v>28336</v>
      </c>
      <c r="I464" t="s">
        <v>71</v>
      </c>
      <c r="J464" t="s">
        <v>81</v>
      </c>
      <c r="K464" t="s">
        <v>54</v>
      </c>
      <c r="L464">
        <v>2022</v>
      </c>
      <c r="M464">
        <v>3</v>
      </c>
      <c r="N464">
        <v>3.5</v>
      </c>
      <c r="O464">
        <v>1.75</v>
      </c>
      <c r="P464">
        <v>1</v>
      </c>
      <c r="Q464">
        <v>2.1</v>
      </c>
      <c r="R464">
        <v>3.5</v>
      </c>
      <c r="S464">
        <v>3.6</v>
      </c>
      <c r="T464">
        <v>2.0499999999999998</v>
      </c>
      <c r="U464">
        <v>3.6</v>
      </c>
      <c r="V464">
        <v>3.4</v>
      </c>
      <c r="W464">
        <v>2.15</v>
      </c>
      <c r="X464">
        <v>3.5</v>
      </c>
      <c r="Y464">
        <v>3.4</v>
      </c>
      <c r="Z464">
        <v>2.13</v>
      </c>
      <c r="AA464">
        <v>3.63</v>
      </c>
      <c r="AB464">
        <v>3.6</v>
      </c>
      <c r="AC464">
        <v>2.0499999999999998</v>
      </c>
      <c r="AD464">
        <v>3.6</v>
      </c>
      <c r="AE464">
        <v>3.4</v>
      </c>
      <c r="AF464">
        <v>2.1</v>
      </c>
      <c r="AG464">
        <v>3.5</v>
      </c>
      <c r="AH464">
        <v>3.4</v>
      </c>
      <c r="AI464">
        <v>2.17</v>
      </c>
      <c r="AJ464">
        <v>3.85</v>
      </c>
      <c r="AK464">
        <v>3.66</v>
      </c>
      <c r="AL464">
        <v>2.11</v>
      </c>
      <c r="AM464">
        <v>3.55</v>
      </c>
      <c r="AN464">
        <v>3.45</v>
      </c>
      <c r="AO464">
        <v>1</v>
      </c>
      <c r="AP464">
        <v>0.46370735527861601</v>
      </c>
      <c r="AQ464">
        <v>0.26136232752067401</v>
      </c>
      <c r="AR464">
        <v>0.27493031720070898</v>
      </c>
      <c r="AS464">
        <v>1</v>
      </c>
      <c r="AT464">
        <v>6.2449609545967002E-3</v>
      </c>
      <c r="AU464">
        <v>3.1656550569509401</v>
      </c>
      <c r="AV464">
        <f t="shared" si="40"/>
        <v>1.2701176639870446E+16</v>
      </c>
      <c r="AW464">
        <f t="shared" si="41"/>
        <v>5889629028600864</v>
      </c>
      <c r="AX464">
        <f t="shared" si="42"/>
        <v>3319609088847759</v>
      </c>
      <c r="AY464">
        <f t="shared" si="43"/>
        <v>3491938522421823</v>
      </c>
      <c r="AZ464" cm="1">
        <f t="array" ref="AZ464">_xlfn.IFS(E464="H",AW464*AI464-AV464,E464="D",AX464*AJ464-AV464,E464="A",AY464*AK464-AV464)</f>
        <v>79318352193426</v>
      </c>
      <c r="BA464">
        <f t="shared" si="44"/>
        <v>1205329000080995.5</v>
      </c>
    </row>
    <row r="465" spans="1:53" x14ac:dyDescent="0.2">
      <c r="A465">
        <v>30</v>
      </c>
      <c r="B465" t="s">
        <v>55</v>
      </c>
      <c r="C465" s="1">
        <v>44667</v>
      </c>
      <c r="D465" t="s">
        <v>190</v>
      </c>
      <c r="E465" t="s">
        <v>74</v>
      </c>
      <c r="F465" t="s">
        <v>76</v>
      </c>
      <c r="G465" t="s">
        <v>223</v>
      </c>
      <c r="H465">
        <v>54042</v>
      </c>
      <c r="I465" t="s">
        <v>149</v>
      </c>
      <c r="J465" t="s">
        <v>206</v>
      </c>
      <c r="K465" t="s">
        <v>54</v>
      </c>
      <c r="L465">
        <v>2022</v>
      </c>
      <c r="M465">
        <v>2</v>
      </c>
      <c r="N465">
        <v>2</v>
      </c>
      <c r="O465">
        <v>1</v>
      </c>
      <c r="P465">
        <v>0.75</v>
      </c>
      <c r="Q465">
        <v>2.0499999999999998</v>
      </c>
      <c r="R465">
        <v>3.6</v>
      </c>
      <c r="S465">
        <v>3.5</v>
      </c>
      <c r="T465">
        <v>1.95</v>
      </c>
      <c r="U465">
        <v>3.6</v>
      </c>
      <c r="V465">
        <v>3.7</v>
      </c>
      <c r="W465">
        <v>1.97</v>
      </c>
      <c r="X465">
        <v>3.8</v>
      </c>
      <c r="Y465">
        <v>3.5</v>
      </c>
      <c r="Z465">
        <v>2.0299999999999998</v>
      </c>
      <c r="AA465">
        <v>3.86</v>
      </c>
      <c r="AB465">
        <v>3.7</v>
      </c>
      <c r="AC465">
        <v>2</v>
      </c>
      <c r="AD465">
        <v>3.6</v>
      </c>
      <c r="AE465">
        <v>3.5</v>
      </c>
      <c r="AF465">
        <v>1.95</v>
      </c>
      <c r="AG465">
        <v>3.8</v>
      </c>
      <c r="AH465">
        <v>3.5</v>
      </c>
      <c r="AI465">
        <v>2.1</v>
      </c>
      <c r="AJ465">
        <v>3.95</v>
      </c>
      <c r="AK465">
        <v>3.71</v>
      </c>
      <c r="AL465">
        <v>2</v>
      </c>
      <c r="AM465">
        <v>3.78</v>
      </c>
      <c r="AN465">
        <v>3.57</v>
      </c>
      <c r="AO465">
        <v>1</v>
      </c>
      <c r="AP465">
        <v>0.47671638392348797</v>
      </c>
      <c r="AQ465">
        <v>0.25344415347831001</v>
      </c>
      <c r="AR465">
        <v>0.26983946259820102</v>
      </c>
      <c r="AS465">
        <v>1</v>
      </c>
      <c r="AT465">
        <v>1.10440623932595E-3</v>
      </c>
      <c r="AU465">
        <v>3.16675946319027</v>
      </c>
      <c r="AV465">
        <f t="shared" si="40"/>
        <v>1.3906505639951442E+16</v>
      </c>
      <c r="AW465">
        <f t="shared" si="41"/>
        <v>6629459081689250</v>
      </c>
      <c r="AX465">
        <f t="shared" si="42"/>
        <v>3524522549758842.5</v>
      </c>
      <c r="AY465">
        <f t="shared" si="43"/>
        <v>3752524008503350</v>
      </c>
      <c r="AZ465" cm="1">
        <f t="array" ref="AZ465">_xlfn.IFS(E465="H",AW465*AI465-AV465,E465="D",AX465*AJ465-AV465,E465="A",AY465*AK465-AV465)</f>
        <v>15358431595986</v>
      </c>
      <c r="BA465">
        <f t="shared" si="44"/>
        <v>1220687431676981.5</v>
      </c>
    </row>
    <row r="466" spans="1:53" x14ac:dyDescent="0.2">
      <c r="A466">
        <v>33</v>
      </c>
      <c r="B466" t="s">
        <v>55</v>
      </c>
      <c r="C466" s="1">
        <v>44667</v>
      </c>
      <c r="D466" t="s">
        <v>469</v>
      </c>
      <c r="E466" t="s">
        <v>49</v>
      </c>
      <c r="F466" t="s">
        <v>181</v>
      </c>
      <c r="G466" t="s">
        <v>440</v>
      </c>
      <c r="H466">
        <v>31627</v>
      </c>
      <c r="I466" t="s">
        <v>344</v>
      </c>
      <c r="J466" t="s">
        <v>390</v>
      </c>
      <c r="K466" t="s">
        <v>54</v>
      </c>
      <c r="L466">
        <v>2022</v>
      </c>
      <c r="M466">
        <v>2.5</v>
      </c>
      <c r="N466">
        <v>1</v>
      </c>
      <c r="O466">
        <v>0.75</v>
      </c>
      <c r="P466">
        <v>0.75</v>
      </c>
      <c r="Q466">
        <v>1.36</v>
      </c>
      <c r="R466">
        <v>5</v>
      </c>
      <c r="S466">
        <v>8.5</v>
      </c>
      <c r="T466">
        <v>1.36</v>
      </c>
      <c r="U466">
        <v>5</v>
      </c>
      <c r="V466">
        <v>8.75</v>
      </c>
      <c r="W466">
        <v>1.37</v>
      </c>
      <c r="X466">
        <v>5.25</v>
      </c>
      <c r="Y466">
        <v>8.25</v>
      </c>
      <c r="Z466">
        <v>1.37</v>
      </c>
      <c r="AA466">
        <v>5.24</v>
      </c>
      <c r="AB466">
        <v>9.67</v>
      </c>
      <c r="AC466">
        <v>1.33</v>
      </c>
      <c r="AD466">
        <v>4.8</v>
      </c>
      <c r="AE466">
        <v>9.5</v>
      </c>
      <c r="AF466">
        <v>1.3</v>
      </c>
      <c r="AG466">
        <v>5</v>
      </c>
      <c r="AH466">
        <v>10</v>
      </c>
      <c r="AI466">
        <v>1.4</v>
      </c>
      <c r="AJ466">
        <v>5.4</v>
      </c>
      <c r="AK466">
        <v>10</v>
      </c>
      <c r="AL466">
        <v>1.36</v>
      </c>
      <c r="AM466">
        <v>5.0599999999999996</v>
      </c>
      <c r="AN466">
        <v>8.99</v>
      </c>
      <c r="AO466">
        <v>1</v>
      </c>
      <c r="AP466">
        <v>0.71466384330333499</v>
      </c>
      <c r="AQ466">
        <v>0.185283218634197</v>
      </c>
      <c r="AR466">
        <v>0.100052938062466</v>
      </c>
      <c r="AS466">
        <v>1</v>
      </c>
      <c r="AT466" s="2">
        <v>5.2938062466911795E-4</v>
      </c>
      <c r="AU466">
        <v>3.1672888438149398</v>
      </c>
      <c r="AV466">
        <f t="shared" si="40"/>
        <v>1.5127193071628424E+16</v>
      </c>
      <c r="AW466">
        <f t="shared" si="41"/>
        <v>1.0810857938961552E+16</v>
      </c>
      <c r="AX466">
        <f t="shared" si="42"/>
        <v>2802815021212254</v>
      </c>
      <c r="AY466">
        <f t="shared" si="43"/>
        <v>1513520111454617.5</v>
      </c>
      <c r="AZ466" cm="1">
        <f t="array" ref="AZ466">_xlfn.IFS(E466="H",AW466*AI466-AV466,E466="D",AX466*AJ466-AV466,E466="A",AY466*AK466-AV466)</f>
        <v>8008042917748</v>
      </c>
      <c r="BA466">
        <f t="shared" si="44"/>
        <v>1228695474594729.5</v>
      </c>
    </row>
    <row r="467" spans="1:53" x14ac:dyDescent="0.2">
      <c r="A467">
        <v>33</v>
      </c>
      <c r="B467" t="s">
        <v>67</v>
      </c>
      <c r="C467" s="1">
        <v>44668</v>
      </c>
      <c r="D467" t="s">
        <v>296</v>
      </c>
      <c r="E467" t="s">
        <v>57</v>
      </c>
      <c r="F467" t="s">
        <v>126</v>
      </c>
      <c r="G467" t="s">
        <v>249</v>
      </c>
      <c r="H467">
        <v>59958</v>
      </c>
      <c r="I467" t="s">
        <v>128</v>
      </c>
      <c r="J467" t="s">
        <v>407</v>
      </c>
      <c r="K467" t="s">
        <v>54</v>
      </c>
      <c r="L467">
        <v>2022</v>
      </c>
      <c r="M467">
        <v>2.5</v>
      </c>
      <c r="N467">
        <v>1.5</v>
      </c>
      <c r="O467">
        <v>1</v>
      </c>
      <c r="P467">
        <v>1</v>
      </c>
      <c r="Q467">
        <v>1.7</v>
      </c>
      <c r="R467">
        <v>3.8</v>
      </c>
      <c r="S467">
        <v>5</v>
      </c>
      <c r="T467">
        <v>1.71</v>
      </c>
      <c r="U467">
        <v>3.7</v>
      </c>
      <c r="V467">
        <v>5</v>
      </c>
      <c r="W467">
        <v>1.7</v>
      </c>
      <c r="X467">
        <v>3.8</v>
      </c>
      <c r="Y467">
        <v>4.9000000000000004</v>
      </c>
      <c r="Z467">
        <v>1.73</v>
      </c>
      <c r="AA467">
        <v>3.99</v>
      </c>
      <c r="AB467">
        <v>5.1100000000000003</v>
      </c>
      <c r="AC467">
        <v>1.73</v>
      </c>
      <c r="AD467">
        <v>3.7</v>
      </c>
      <c r="AE467">
        <v>4.8</v>
      </c>
      <c r="AF467">
        <v>1.67</v>
      </c>
      <c r="AG467">
        <v>3.7</v>
      </c>
      <c r="AH467">
        <v>5</v>
      </c>
      <c r="AI467">
        <v>1.79</v>
      </c>
      <c r="AJ467">
        <v>4.04</v>
      </c>
      <c r="AK467">
        <v>5.46</v>
      </c>
      <c r="AL467">
        <v>1.72</v>
      </c>
      <c r="AM467">
        <v>3.84</v>
      </c>
      <c r="AN467">
        <v>5.0199999999999996</v>
      </c>
      <c r="AO467">
        <v>1</v>
      </c>
      <c r="AP467">
        <v>0.56468202972603498</v>
      </c>
      <c r="AQ467">
        <v>0.25019327554693099</v>
      </c>
      <c r="AR467">
        <v>0.185124694727033</v>
      </c>
      <c r="AS467">
        <v>1</v>
      </c>
      <c r="AT467">
        <v>1.07808332096028E-2</v>
      </c>
      <c r="AU467">
        <v>3.1780696770245398</v>
      </c>
      <c r="AV467">
        <f t="shared" si="40"/>
        <v>1.6355888546223154E+16</v>
      </c>
      <c r="AW467">
        <f t="shared" si="41"/>
        <v>9235876342254100</v>
      </c>
      <c r="AX467">
        <f t="shared" si="42"/>
        <v>4092133329860108.5</v>
      </c>
      <c r="AY467">
        <f t="shared" si="43"/>
        <v>3027878874108945</v>
      </c>
      <c r="AZ467" cm="1">
        <f t="array" ref="AZ467">_xlfn.IFS(E467="H",AW467*AI467-AV467,E467="D",AX467*AJ467-AV467,E467="A",AY467*AK467-AV467)</f>
        <v>176330106411684</v>
      </c>
      <c r="BA467">
        <f t="shared" si="44"/>
        <v>1405025581006413.5</v>
      </c>
    </row>
    <row r="468" spans="1:53" x14ac:dyDescent="0.2">
      <c r="A468">
        <v>32</v>
      </c>
      <c r="B468" t="s">
        <v>67</v>
      </c>
      <c r="C468" s="1">
        <v>44668</v>
      </c>
      <c r="D468" t="s">
        <v>183</v>
      </c>
      <c r="E468" t="s">
        <v>57</v>
      </c>
      <c r="F468" t="s">
        <v>64</v>
      </c>
      <c r="G468" t="s">
        <v>216</v>
      </c>
      <c r="H468">
        <v>10170</v>
      </c>
      <c r="I468" t="s">
        <v>105</v>
      </c>
      <c r="J468" t="s">
        <v>72</v>
      </c>
      <c r="K468" t="s">
        <v>54</v>
      </c>
      <c r="L468">
        <v>2022</v>
      </c>
      <c r="M468">
        <v>0.25</v>
      </c>
      <c r="N468">
        <v>0.75</v>
      </c>
      <c r="O468">
        <v>1.5</v>
      </c>
      <c r="P468">
        <v>0.75</v>
      </c>
      <c r="Q468">
        <v>2.25</v>
      </c>
      <c r="R468">
        <v>3.1</v>
      </c>
      <c r="S468">
        <v>3.5</v>
      </c>
      <c r="T468">
        <v>2.2000000000000002</v>
      </c>
      <c r="U468">
        <v>2.9</v>
      </c>
      <c r="V468">
        <v>3.8</v>
      </c>
      <c r="W468">
        <v>2.25</v>
      </c>
      <c r="X468">
        <v>3.15</v>
      </c>
      <c r="Y468">
        <v>3.45</v>
      </c>
      <c r="Z468">
        <v>2.25</v>
      </c>
      <c r="AA468">
        <v>3.07</v>
      </c>
      <c r="AB468">
        <v>3.95</v>
      </c>
      <c r="AC468">
        <v>2.2000000000000002</v>
      </c>
      <c r="AD468">
        <v>3.1</v>
      </c>
      <c r="AE468">
        <v>3.6</v>
      </c>
      <c r="AF468">
        <v>2.15</v>
      </c>
      <c r="AG468">
        <v>3.25</v>
      </c>
      <c r="AH468">
        <v>3.5</v>
      </c>
      <c r="AI468">
        <v>2.31</v>
      </c>
      <c r="AJ468">
        <v>3.25</v>
      </c>
      <c r="AK468">
        <v>3.96</v>
      </c>
      <c r="AL468">
        <v>2.23</v>
      </c>
      <c r="AM468">
        <v>3.08</v>
      </c>
      <c r="AN468">
        <v>3.65</v>
      </c>
      <c r="AO468">
        <v>1</v>
      </c>
      <c r="AP468">
        <v>0.43590030177713102</v>
      </c>
      <c r="AQ468">
        <v>0.30982452218620699</v>
      </c>
      <c r="AR468">
        <v>0.25427517603666</v>
      </c>
      <c r="AS468">
        <v>1</v>
      </c>
      <c r="AT468">
        <v>6.9296971051748804E-3</v>
      </c>
      <c r="AU468">
        <v>3.18499937412972</v>
      </c>
      <c r="AV468">
        <f t="shared" si="40"/>
        <v>1.7760914127229568E+16</v>
      </c>
      <c r="AW468">
        <f t="shared" si="41"/>
        <v>7741987827897095</v>
      </c>
      <c r="AX468">
        <f t="shared" si="42"/>
        <v>5502766733059166</v>
      </c>
      <c r="AY468">
        <f t="shared" si="43"/>
        <v>4516159566273306</v>
      </c>
      <c r="AZ468" cm="1">
        <f t="array" ref="AZ468">_xlfn.IFS(E468="H",AW468*AI468-AV468,E468="D",AX468*AJ468-AV468,E468="A",AY468*AK468-AV468)</f>
        <v>123077755212722</v>
      </c>
      <c r="BA468">
        <f t="shared" si="44"/>
        <v>1528103336219135.5</v>
      </c>
    </row>
    <row r="469" spans="1:53" x14ac:dyDescent="0.2">
      <c r="A469">
        <v>30</v>
      </c>
      <c r="B469" t="s">
        <v>130</v>
      </c>
      <c r="C469" s="1">
        <v>44670</v>
      </c>
      <c r="D469" t="s">
        <v>151</v>
      </c>
      <c r="E469" t="s">
        <v>49</v>
      </c>
      <c r="F469" t="s">
        <v>210</v>
      </c>
      <c r="G469" t="s">
        <v>127</v>
      </c>
      <c r="H469">
        <v>52686</v>
      </c>
      <c r="I469" t="s">
        <v>400</v>
      </c>
      <c r="J469" t="s">
        <v>233</v>
      </c>
      <c r="K469" t="s">
        <v>54</v>
      </c>
      <c r="L469">
        <v>2022</v>
      </c>
      <c r="M469">
        <v>3</v>
      </c>
      <c r="N469">
        <v>3</v>
      </c>
      <c r="O469">
        <v>1</v>
      </c>
      <c r="P469">
        <v>1.5</v>
      </c>
      <c r="Q469">
        <v>1.4</v>
      </c>
      <c r="R469">
        <v>5</v>
      </c>
      <c r="S469">
        <v>7</v>
      </c>
      <c r="T469">
        <v>1.39</v>
      </c>
      <c r="U469">
        <v>5</v>
      </c>
      <c r="V469">
        <v>7</v>
      </c>
      <c r="W469">
        <v>1.45</v>
      </c>
      <c r="X469">
        <v>5</v>
      </c>
      <c r="Y469">
        <v>6.25</v>
      </c>
      <c r="Z469">
        <v>1.41</v>
      </c>
      <c r="AA469">
        <v>5.36</v>
      </c>
      <c r="AB469">
        <v>7.82</v>
      </c>
      <c r="AC469">
        <v>1.38</v>
      </c>
      <c r="AD469">
        <v>5</v>
      </c>
      <c r="AE469">
        <v>7.5</v>
      </c>
      <c r="AF469">
        <v>1.4</v>
      </c>
      <c r="AG469">
        <v>5.25</v>
      </c>
      <c r="AH469">
        <v>7</v>
      </c>
      <c r="AI469">
        <v>1.51</v>
      </c>
      <c r="AJ469">
        <v>5.5</v>
      </c>
      <c r="AK469">
        <v>8</v>
      </c>
      <c r="AL469">
        <v>1.41</v>
      </c>
      <c r="AM469">
        <v>5.21</v>
      </c>
      <c r="AN469">
        <v>7.44</v>
      </c>
      <c r="AO469">
        <v>1</v>
      </c>
      <c r="AP469">
        <v>0.68338898811835003</v>
      </c>
      <c r="AQ469">
        <v>0.18762134037431</v>
      </c>
      <c r="AR469">
        <v>0.12898967150733801</v>
      </c>
      <c r="AS469">
        <v>1</v>
      </c>
      <c r="AT469">
        <v>3.1917372058709301E-2</v>
      </c>
      <c r="AU469">
        <v>3.2169167461884198</v>
      </c>
      <c r="AV469">
        <f t="shared" si="40"/>
        <v>1.9289017463448704E+16</v>
      </c>
      <c r="AW469">
        <f t="shared" si="41"/>
        <v>1.3181902126143404E+16</v>
      </c>
      <c r="AX469">
        <f t="shared" si="42"/>
        <v>3619031310995734.5</v>
      </c>
      <c r="AY469">
        <f t="shared" si="43"/>
        <v>2488084026309567</v>
      </c>
      <c r="AZ469" cm="1">
        <f t="array" ref="AZ469">_xlfn.IFS(E469="H",AW469*AI469-AV469,E469="D",AX469*AJ469-AV469,E469="A",AY469*AK469-AV469)</f>
        <v>615654747027836</v>
      </c>
      <c r="BA469">
        <f t="shared" si="44"/>
        <v>2143758083246971.5</v>
      </c>
    </row>
    <row r="470" spans="1:53" x14ac:dyDescent="0.2">
      <c r="A470">
        <v>33</v>
      </c>
      <c r="B470" t="s">
        <v>130</v>
      </c>
      <c r="C470" s="1">
        <v>44670</v>
      </c>
      <c r="D470" t="s">
        <v>418</v>
      </c>
      <c r="E470" t="s">
        <v>49</v>
      </c>
      <c r="F470" t="s">
        <v>263</v>
      </c>
      <c r="G470" t="s">
        <v>286</v>
      </c>
      <c r="H470">
        <v>15264</v>
      </c>
      <c r="I470" t="s">
        <v>264</v>
      </c>
      <c r="J470" t="s">
        <v>349</v>
      </c>
      <c r="K470" t="s">
        <v>54</v>
      </c>
      <c r="L470">
        <v>2022</v>
      </c>
      <c r="M470">
        <v>0.75</v>
      </c>
      <c r="N470">
        <v>0.25</v>
      </c>
      <c r="O470">
        <v>0.25</v>
      </c>
      <c r="P470">
        <v>0.75</v>
      </c>
      <c r="Q470">
        <v>1.95</v>
      </c>
      <c r="R470">
        <v>3.3</v>
      </c>
      <c r="S470">
        <v>4.2</v>
      </c>
      <c r="T470">
        <v>1.98</v>
      </c>
      <c r="U470">
        <v>3.2</v>
      </c>
      <c r="V470">
        <v>4.2</v>
      </c>
      <c r="W470">
        <v>2</v>
      </c>
      <c r="X470">
        <v>3.1</v>
      </c>
      <c r="Y470">
        <v>4.5</v>
      </c>
      <c r="Z470">
        <v>2</v>
      </c>
      <c r="AA470">
        <v>3.28</v>
      </c>
      <c r="AB470">
        <v>4.55</v>
      </c>
      <c r="AC470">
        <v>2</v>
      </c>
      <c r="AD470">
        <v>3.1</v>
      </c>
      <c r="AE470">
        <v>4.2</v>
      </c>
      <c r="AF470">
        <v>1.95</v>
      </c>
      <c r="AG470">
        <v>3.25</v>
      </c>
      <c r="AH470">
        <v>4.4000000000000004</v>
      </c>
      <c r="AI470">
        <v>2.1800000000000002</v>
      </c>
      <c r="AJ470">
        <v>3.3</v>
      </c>
      <c r="AK470">
        <v>4.55</v>
      </c>
      <c r="AL470">
        <v>2</v>
      </c>
      <c r="AM470">
        <v>3.24</v>
      </c>
      <c r="AN470">
        <v>4.34</v>
      </c>
      <c r="AO470">
        <v>1</v>
      </c>
      <c r="AP470">
        <v>0.467349352589641</v>
      </c>
      <c r="AQ470">
        <v>0.30873381474103501</v>
      </c>
      <c r="AR470">
        <v>0.223916832669322</v>
      </c>
      <c r="AS470">
        <v>1</v>
      </c>
      <c r="AT470">
        <v>1.8821588645418299E-2</v>
      </c>
      <c r="AU470">
        <v>3.2357383348338402</v>
      </c>
      <c r="AV470">
        <f t="shared" si="40"/>
        <v>2.1432775546695676E+16</v>
      </c>
      <c r="AW470">
        <f t="shared" si="41"/>
        <v>1.0016593775947322E+16</v>
      </c>
      <c r="AX470">
        <f t="shared" si="42"/>
        <v>6617022555019747</v>
      </c>
      <c r="AY470">
        <f t="shared" si="43"/>
        <v>4799159215728607</v>
      </c>
      <c r="AZ470" cm="1">
        <f t="array" ref="AZ470">_xlfn.IFS(E470="H",AW470*AI470-AV470,E470="D",AX470*AJ470-AV470,E470="A",AY470*AK470-AV470)</f>
        <v>403398884869488</v>
      </c>
      <c r="BA470">
        <f t="shared" si="44"/>
        <v>2547156968116459.5</v>
      </c>
    </row>
    <row r="471" spans="1:53" x14ac:dyDescent="0.2">
      <c r="A471">
        <v>25</v>
      </c>
      <c r="B471" t="s">
        <v>202</v>
      </c>
      <c r="C471" s="1">
        <v>44671</v>
      </c>
      <c r="D471" t="s">
        <v>470</v>
      </c>
      <c r="E471" t="s">
        <v>74</v>
      </c>
      <c r="F471" t="s">
        <v>91</v>
      </c>
      <c r="G471" t="s">
        <v>178</v>
      </c>
      <c r="H471">
        <v>32249</v>
      </c>
      <c r="I471" t="s">
        <v>93</v>
      </c>
      <c r="J471" t="s">
        <v>332</v>
      </c>
      <c r="K471" t="s">
        <v>54</v>
      </c>
      <c r="L471">
        <v>2022</v>
      </c>
      <c r="M471">
        <v>1.75</v>
      </c>
      <c r="N471">
        <v>1.5</v>
      </c>
      <c r="O471">
        <v>1.5</v>
      </c>
      <c r="P471">
        <v>1</v>
      </c>
      <c r="Q471">
        <v>1.83</v>
      </c>
      <c r="R471">
        <v>3.6</v>
      </c>
      <c r="S471">
        <v>4.33</v>
      </c>
      <c r="T471">
        <v>1.83</v>
      </c>
      <c r="U471">
        <v>3.6</v>
      </c>
      <c r="V471">
        <v>4.2</v>
      </c>
      <c r="W471">
        <v>1.9</v>
      </c>
      <c r="X471">
        <v>3.55</v>
      </c>
      <c r="Y471">
        <v>4.2</v>
      </c>
      <c r="Z471">
        <v>1.88</v>
      </c>
      <c r="AA471">
        <v>3.77</v>
      </c>
      <c r="AB471">
        <v>4.42</v>
      </c>
      <c r="AC471">
        <v>1.83</v>
      </c>
      <c r="AD471">
        <v>3.5</v>
      </c>
      <c r="AE471">
        <v>4.4000000000000004</v>
      </c>
      <c r="AF471">
        <v>1.8</v>
      </c>
      <c r="AG471">
        <v>3.4</v>
      </c>
      <c r="AH471">
        <v>4.5</v>
      </c>
      <c r="AI471">
        <v>1.92</v>
      </c>
      <c r="AJ471">
        <v>3.8</v>
      </c>
      <c r="AK471">
        <v>4.6500000000000004</v>
      </c>
      <c r="AL471">
        <v>1.87</v>
      </c>
      <c r="AM471">
        <v>3.64</v>
      </c>
      <c r="AN471">
        <v>4.34</v>
      </c>
      <c r="AO471">
        <v>1</v>
      </c>
      <c r="AP471">
        <v>0.52133120906355102</v>
      </c>
      <c r="AQ471">
        <v>0.26340945300053098</v>
      </c>
      <c r="AR471">
        <v>0.21525933793591701</v>
      </c>
      <c r="AS471">
        <v>1</v>
      </c>
      <c r="AT471" s="2">
        <v>9.5592140201783405E-4</v>
      </c>
      <c r="AU471">
        <v>3.23669425623586</v>
      </c>
      <c r="AV471">
        <f t="shared" si="40"/>
        <v>2.3979932514812136E+16</v>
      </c>
      <c r="AW471">
        <f t="shared" si="41"/>
        <v>1.2501487211209372E+16</v>
      </c>
      <c r="AX471">
        <f t="shared" si="42"/>
        <v>6316540906716313</v>
      </c>
      <c r="AY471">
        <f t="shared" si="43"/>
        <v>5161904396886449</v>
      </c>
      <c r="AZ471" cm="1">
        <f t="array" ref="AZ471">_xlfn.IFS(E471="H",AW471*AI471-AV471,E471="D",AX471*AJ471-AV471,E471="A",AY471*AK471-AV471)</f>
        <v>22922930709852</v>
      </c>
      <c r="BA471">
        <f t="shared" si="44"/>
        <v>2570079898826311.5</v>
      </c>
    </row>
    <row r="472" spans="1:53" x14ac:dyDescent="0.2">
      <c r="A472">
        <v>31</v>
      </c>
      <c r="B472" t="s">
        <v>55</v>
      </c>
      <c r="C472" s="1">
        <v>44674</v>
      </c>
      <c r="D472" t="s">
        <v>73</v>
      </c>
      <c r="E472" t="s">
        <v>74</v>
      </c>
      <c r="F472" t="s">
        <v>204</v>
      </c>
      <c r="G472" t="s">
        <v>255</v>
      </c>
      <c r="H472">
        <v>45770</v>
      </c>
      <c r="I472" t="s">
        <v>205</v>
      </c>
      <c r="J472" t="s">
        <v>225</v>
      </c>
      <c r="K472" t="s">
        <v>54</v>
      </c>
      <c r="L472">
        <v>2022</v>
      </c>
      <c r="M472">
        <v>2</v>
      </c>
      <c r="N472">
        <v>1.75</v>
      </c>
      <c r="O472">
        <v>0.75</v>
      </c>
      <c r="P472">
        <v>1</v>
      </c>
      <c r="Q472">
        <v>1.55</v>
      </c>
      <c r="R472">
        <v>4</v>
      </c>
      <c r="S472">
        <v>6.5</v>
      </c>
      <c r="T472">
        <v>1.52</v>
      </c>
      <c r="U472">
        <v>4.2</v>
      </c>
      <c r="V472">
        <v>6.5</v>
      </c>
      <c r="W472">
        <v>1.53</v>
      </c>
      <c r="X472">
        <v>4.2</v>
      </c>
      <c r="Y472">
        <v>6.25</v>
      </c>
      <c r="Z472">
        <v>1.56</v>
      </c>
      <c r="AA472">
        <v>4.12</v>
      </c>
      <c r="AB472">
        <v>6.99</v>
      </c>
      <c r="AC472">
        <v>1.52</v>
      </c>
      <c r="AD472">
        <v>4</v>
      </c>
      <c r="AE472">
        <v>6.5</v>
      </c>
      <c r="AF472">
        <v>1.53</v>
      </c>
      <c r="AG472">
        <v>4.2</v>
      </c>
      <c r="AH472">
        <v>6.5</v>
      </c>
      <c r="AI472">
        <v>1.59</v>
      </c>
      <c r="AJ472">
        <v>4.5</v>
      </c>
      <c r="AK472">
        <v>7.1</v>
      </c>
      <c r="AL472">
        <v>1.54</v>
      </c>
      <c r="AM472">
        <v>4.17</v>
      </c>
      <c r="AN472">
        <v>6.62</v>
      </c>
      <c r="AO472">
        <v>1</v>
      </c>
      <c r="AP472">
        <v>0.634004048100964</v>
      </c>
      <c r="AQ472">
        <v>0.22401476366233999</v>
      </c>
      <c r="AR472">
        <v>0.14198118823669401</v>
      </c>
      <c r="AS472">
        <v>1</v>
      </c>
      <c r="AT472">
        <v>8.0664364805333993E-3</v>
      </c>
      <c r="AU472">
        <v>3.2447606927163899</v>
      </c>
      <c r="AV472">
        <f t="shared" si="40"/>
        <v>2.6550012413638448E+16</v>
      </c>
      <c r="AW472">
        <f t="shared" si="41"/>
        <v>1.6832815347377632E+16</v>
      </c>
      <c r="AX472">
        <f t="shared" si="42"/>
        <v>5947594756073430</v>
      </c>
      <c r="AY472">
        <f t="shared" si="43"/>
        <v>3769602310187386</v>
      </c>
      <c r="AZ472" cm="1">
        <f t="array" ref="AZ472">_xlfn.IFS(E472="H",AW472*AI472-AV472,E472="D",AX472*AJ472-AV472,E472="A",AY472*AK472-AV472)</f>
        <v>214163988691992</v>
      </c>
      <c r="BA472">
        <f t="shared" si="44"/>
        <v>2784243887518303.5</v>
      </c>
    </row>
    <row r="473" spans="1:53" x14ac:dyDescent="0.2">
      <c r="A473">
        <v>31</v>
      </c>
      <c r="B473" t="s">
        <v>55</v>
      </c>
      <c r="C473" s="1">
        <v>44674</v>
      </c>
      <c r="D473" t="s">
        <v>73</v>
      </c>
      <c r="E473" t="s">
        <v>74</v>
      </c>
      <c r="F473" t="s">
        <v>429</v>
      </c>
      <c r="G473" t="s">
        <v>192</v>
      </c>
      <c r="H473">
        <v>11579</v>
      </c>
      <c r="I473" t="s">
        <v>446</v>
      </c>
      <c r="J473" t="s">
        <v>421</v>
      </c>
      <c r="K473" t="s">
        <v>54</v>
      </c>
      <c r="L473">
        <v>2022</v>
      </c>
      <c r="M473">
        <v>0.5</v>
      </c>
      <c r="N473">
        <v>0.5</v>
      </c>
      <c r="O473">
        <v>1.25</v>
      </c>
      <c r="P473">
        <v>1.25</v>
      </c>
      <c r="Q473">
        <v>8.5</v>
      </c>
      <c r="R473">
        <v>5.25</v>
      </c>
      <c r="S473">
        <v>1.33</v>
      </c>
      <c r="T473">
        <v>7.75</v>
      </c>
      <c r="U473">
        <v>5.25</v>
      </c>
      <c r="V473">
        <v>1.37</v>
      </c>
      <c r="W473">
        <v>8.25</v>
      </c>
      <c r="X473">
        <v>5.5</v>
      </c>
      <c r="Y473">
        <v>1.33</v>
      </c>
      <c r="Z473">
        <v>8.94</v>
      </c>
      <c r="AA473">
        <v>5.39</v>
      </c>
      <c r="AB473">
        <v>1.37</v>
      </c>
      <c r="AC473">
        <v>8</v>
      </c>
      <c r="AD473">
        <v>5</v>
      </c>
      <c r="AE473">
        <v>1.36</v>
      </c>
      <c r="AF473">
        <v>8.5</v>
      </c>
      <c r="AG473">
        <v>5.5</v>
      </c>
      <c r="AH473">
        <v>1.33</v>
      </c>
      <c r="AI473">
        <v>9.1</v>
      </c>
      <c r="AJ473">
        <v>5.8</v>
      </c>
      <c r="AK473">
        <v>1.4</v>
      </c>
      <c r="AL473">
        <v>8.5</v>
      </c>
      <c r="AM473">
        <v>5.33</v>
      </c>
      <c r="AN473">
        <v>1.36</v>
      </c>
      <c r="AO473">
        <v>1</v>
      </c>
      <c r="AP473">
        <v>0.110266159695817</v>
      </c>
      <c r="AQ473">
        <v>0.173003802281368</v>
      </c>
      <c r="AR473">
        <v>0.71673003802281299</v>
      </c>
      <c r="AS473">
        <v>1</v>
      </c>
      <c r="AT473">
        <v>3.4220532319391098E-3</v>
      </c>
      <c r="AU473">
        <v>3.2481827459483301</v>
      </c>
      <c r="AV473">
        <f t="shared" si="40"/>
        <v>2.9334256301156752E+16</v>
      </c>
      <c r="AW473">
        <f t="shared" si="41"/>
        <v>3234575789861391</v>
      </c>
      <c r="AX473">
        <f t="shared" si="42"/>
        <v>5074937877196320</v>
      </c>
      <c r="AY473">
        <f t="shared" si="43"/>
        <v>2.102474263409904E+16</v>
      </c>
      <c r="AZ473" cm="1">
        <f t="array" ref="AZ473">_xlfn.IFS(E473="H",AW473*AI473-AV473,E473="D",AX473*AJ473-AV473,E473="A",AY473*AK473-AV473)</f>
        <v>100383386581904</v>
      </c>
      <c r="BA473">
        <f t="shared" si="44"/>
        <v>2884627274100207.5</v>
      </c>
    </row>
    <row r="474" spans="1:53" x14ac:dyDescent="0.2">
      <c r="A474">
        <v>34</v>
      </c>
      <c r="B474" t="s">
        <v>55</v>
      </c>
      <c r="C474" s="1">
        <v>44674</v>
      </c>
      <c r="D474" t="s">
        <v>183</v>
      </c>
      <c r="E474" t="s">
        <v>74</v>
      </c>
      <c r="F474" t="s">
        <v>440</v>
      </c>
      <c r="G474" t="s">
        <v>195</v>
      </c>
      <c r="H474">
        <v>6132</v>
      </c>
      <c r="I474" t="s">
        <v>441</v>
      </c>
      <c r="J474" t="s">
        <v>299</v>
      </c>
      <c r="K474" t="s">
        <v>54</v>
      </c>
      <c r="L474">
        <v>2022</v>
      </c>
      <c r="M474">
        <v>0.25</v>
      </c>
      <c r="N474">
        <v>0.75</v>
      </c>
      <c r="O474">
        <v>0.75</v>
      </c>
      <c r="P474">
        <v>0.5</v>
      </c>
      <c r="Q474">
        <v>6.5</v>
      </c>
      <c r="R474">
        <v>4.33</v>
      </c>
      <c r="S474">
        <v>1.5</v>
      </c>
      <c r="T474">
        <v>6.5</v>
      </c>
      <c r="U474">
        <v>4.4000000000000004</v>
      </c>
      <c r="V474">
        <v>1.49</v>
      </c>
      <c r="W474">
        <v>6.25</v>
      </c>
      <c r="X474">
        <v>4.5999999999999996</v>
      </c>
      <c r="Y474">
        <v>1.5</v>
      </c>
      <c r="Z474">
        <v>6.97</v>
      </c>
      <c r="AA474">
        <v>4.6100000000000003</v>
      </c>
      <c r="AB474">
        <v>1.51</v>
      </c>
      <c r="AC474">
        <v>7</v>
      </c>
      <c r="AD474">
        <v>4.2</v>
      </c>
      <c r="AE474">
        <v>1.47</v>
      </c>
      <c r="AF474">
        <v>7.5</v>
      </c>
      <c r="AG474">
        <v>4.4000000000000004</v>
      </c>
      <c r="AH474">
        <v>1.45</v>
      </c>
      <c r="AI474">
        <v>7.5</v>
      </c>
      <c r="AJ474">
        <v>4.87</v>
      </c>
      <c r="AK474">
        <v>1.53</v>
      </c>
      <c r="AL474">
        <v>6.62</v>
      </c>
      <c r="AM474">
        <v>4.54</v>
      </c>
      <c r="AN474">
        <v>1.49</v>
      </c>
      <c r="AO474">
        <v>1</v>
      </c>
      <c r="AP474">
        <v>0.13437244707498999</v>
      </c>
      <c r="AQ474">
        <v>0.20693908687113499</v>
      </c>
      <c r="AR474">
        <v>0.65868846605387399</v>
      </c>
      <c r="AS474">
        <v>1</v>
      </c>
      <c r="AT474">
        <v>7.7933530624281202E-3</v>
      </c>
      <c r="AU474">
        <v>3.25597609901076</v>
      </c>
      <c r="AV474">
        <f t="shared" si="40"/>
        <v>3.221888357525696E+16</v>
      </c>
      <c r="AW474">
        <f t="shared" si="41"/>
        <v>4329330228031493</v>
      </c>
      <c r="AX474">
        <f t="shared" si="42"/>
        <v>6667346347071088</v>
      </c>
      <c r="AY474">
        <f t="shared" si="43"/>
        <v>2.122220700015438E+16</v>
      </c>
      <c r="AZ474" cm="1">
        <f t="array" ref="AZ474">_xlfn.IFS(E474="H",AW474*AI474-AV474,E474="D",AX474*AJ474-AV474,E474="A",AY474*AK474-AV474)</f>
        <v>251093134979240</v>
      </c>
      <c r="BA474">
        <f t="shared" si="44"/>
        <v>3135720409079447.5</v>
      </c>
    </row>
    <row r="475" spans="1:53" x14ac:dyDescent="0.2">
      <c r="A475">
        <v>34</v>
      </c>
      <c r="B475" t="s">
        <v>55</v>
      </c>
      <c r="C475" s="1">
        <v>44674</v>
      </c>
      <c r="D475" t="s">
        <v>409</v>
      </c>
      <c r="E475" t="s">
        <v>49</v>
      </c>
      <c r="F475" t="s">
        <v>178</v>
      </c>
      <c r="G475" t="s">
        <v>127</v>
      </c>
      <c r="H475">
        <v>60223</v>
      </c>
      <c r="I475" t="s">
        <v>419</v>
      </c>
      <c r="J475" t="s">
        <v>297</v>
      </c>
      <c r="K475" t="s">
        <v>54</v>
      </c>
      <c r="L475">
        <v>2022</v>
      </c>
      <c r="M475">
        <v>1.5</v>
      </c>
      <c r="N475">
        <v>1.25</v>
      </c>
      <c r="O475">
        <v>0.75</v>
      </c>
      <c r="P475">
        <v>1.25</v>
      </c>
      <c r="Q475">
        <v>2.0499999999999998</v>
      </c>
      <c r="R475">
        <v>3.5</v>
      </c>
      <c r="S475">
        <v>3.5</v>
      </c>
      <c r="T475">
        <v>2.0499999999999998</v>
      </c>
      <c r="U475">
        <v>3.6</v>
      </c>
      <c r="V475">
        <v>3.4</v>
      </c>
      <c r="W475">
        <v>2.1</v>
      </c>
      <c r="X475">
        <v>3.5</v>
      </c>
      <c r="Y475">
        <v>3.4</v>
      </c>
      <c r="Z475">
        <v>2.13</v>
      </c>
      <c r="AA475">
        <v>3.64</v>
      </c>
      <c r="AB475">
        <v>3.58</v>
      </c>
      <c r="AC475">
        <v>2.0499999999999998</v>
      </c>
      <c r="AD475">
        <v>3.5</v>
      </c>
      <c r="AE475">
        <v>3.5</v>
      </c>
      <c r="AF475">
        <v>2.1</v>
      </c>
      <c r="AG475">
        <v>3.6</v>
      </c>
      <c r="AH475">
        <v>3.5</v>
      </c>
      <c r="AI475">
        <v>2.1800000000000002</v>
      </c>
      <c r="AJ475">
        <v>3.75</v>
      </c>
      <c r="AK475">
        <v>3.7</v>
      </c>
      <c r="AL475">
        <v>2.11</v>
      </c>
      <c r="AM475">
        <v>3.58</v>
      </c>
      <c r="AN475">
        <v>3.5</v>
      </c>
      <c r="AO475">
        <v>1</v>
      </c>
      <c r="AP475">
        <v>0.46071855492097202</v>
      </c>
      <c r="AQ475">
        <v>0.26783105326072498</v>
      </c>
      <c r="AR475">
        <v>0.27145039181830199</v>
      </c>
      <c r="AS475">
        <v>1</v>
      </c>
      <c r="AT475">
        <v>4.3664497277196004E-3</v>
      </c>
      <c r="AU475">
        <v>3.2603425487384801</v>
      </c>
      <c r="AV475">
        <f t="shared" si="40"/>
        <v>3.5354603984336408E+16</v>
      </c>
      <c r="AW475">
        <f t="shared" si="41"/>
        <v>1.628852205746672E+16</v>
      </c>
      <c r="AX475">
        <f t="shared" si="42"/>
        <v>9469060822740654</v>
      </c>
      <c r="AY475">
        <f t="shared" si="43"/>
        <v>9597021104129038</v>
      </c>
      <c r="AZ475" cm="1">
        <f t="array" ref="AZ475">_xlfn.IFS(E475="H",AW475*AI475-AV475,E475="D",AX475*AJ475-AV475,E475="A",AY475*AK475-AV475)</f>
        <v>154374100941044</v>
      </c>
      <c r="BA475">
        <f t="shared" si="44"/>
        <v>3290094510020491.5</v>
      </c>
    </row>
    <row r="476" spans="1:53" x14ac:dyDescent="0.2">
      <c r="A476">
        <v>34</v>
      </c>
      <c r="B476" t="s">
        <v>67</v>
      </c>
      <c r="C476" s="1">
        <v>44675</v>
      </c>
      <c r="D476" t="s">
        <v>226</v>
      </c>
      <c r="E476" t="s">
        <v>49</v>
      </c>
      <c r="F476" t="s">
        <v>210</v>
      </c>
      <c r="G476" t="s">
        <v>252</v>
      </c>
      <c r="H476">
        <v>53213</v>
      </c>
      <c r="I476" t="s">
        <v>400</v>
      </c>
      <c r="J476" t="s">
        <v>94</v>
      </c>
      <c r="K476" t="s">
        <v>54</v>
      </c>
      <c r="L476">
        <v>2022</v>
      </c>
      <c r="M476">
        <v>3</v>
      </c>
      <c r="N476">
        <v>3.25</v>
      </c>
      <c r="O476">
        <v>0</v>
      </c>
      <c r="P476">
        <v>0.75</v>
      </c>
      <c r="Q476">
        <v>1.18</v>
      </c>
      <c r="R476">
        <v>7</v>
      </c>
      <c r="S476">
        <v>15</v>
      </c>
      <c r="T476">
        <v>1.19</v>
      </c>
      <c r="U476">
        <v>7.25</v>
      </c>
      <c r="V476">
        <v>14</v>
      </c>
      <c r="W476">
        <v>1.2</v>
      </c>
      <c r="X476">
        <v>7</v>
      </c>
      <c r="Y476">
        <v>14</v>
      </c>
      <c r="Z476">
        <v>1.18</v>
      </c>
      <c r="AA476">
        <v>7.75</v>
      </c>
      <c r="AB476">
        <v>18</v>
      </c>
      <c r="AC476">
        <v>1.2</v>
      </c>
      <c r="AD476">
        <v>6.5</v>
      </c>
      <c r="AE476">
        <v>15</v>
      </c>
      <c r="AF476">
        <v>1.17</v>
      </c>
      <c r="AG476">
        <v>7</v>
      </c>
      <c r="AH476">
        <v>15</v>
      </c>
      <c r="AI476">
        <v>1.22</v>
      </c>
      <c r="AJ476">
        <v>7.9</v>
      </c>
      <c r="AK476">
        <v>19</v>
      </c>
      <c r="AL476">
        <v>1.19</v>
      </c>
      <c r="AM476">
        <v>7.35</v>
      </c>
      <c r="AN476">
        <v>15.64</v>
      </c>
      <c r="AO476">
        <v>1</v>
      </c>
      <c r="AP476">
        <v>0.82058627363080705</v>
      </c>
      <c r="AQ476">
        <v>0.126723449851846</v>
      </c>
      <c r="AR476">
        <v>5.26902765173465E-2</v>
      </c>
      <c r="AS476">
        <v>1</v>
      </c>
      <c r="AT476">
        <v>1.11525382958488E-3</v>
      </c>
      <c r="AU476">
        <v>3.2614578025680698</v>
      </c>
      <c r="AV476">
        <f t="shared" si="40"/>
        <v>3.8644698494356896E+16</v>
      </c>
      <c r="AW476">
        <f t="shared" si="41"/>
        <v>3.1711309133070392E+16</v>
      </c>
      <c r="AX476">
        <f t="shared" si="42"/>
        <v>4897189511689352</v>
      </c>
      <c r="AY476">
        <f t="shared" si="43"/>
        <v>2036199849597151.5</v>
      </c>
      <c r="AZ476" cm="1">
        <f t="array" ref="AZ476">_xlfn.IFS(E476="H",AW476*AI476-AV476,E476="D",AX476*AJ476-AV476,E476="A",AY476*AK476-AV476)</f>
        <v>43098647988984</v>
      </c>
      <c r="BA476">
        <f t="shared" si="44"/>
        <v>3333193158009475.5</v>
      </c>
    </row>
    <row r="477" spans="1:53" x14ac:dyDescent="0.2">
      <c r="A477">
        <v>35</v>
      </c>
      <c r="B477" t="s">
        <v>55</v>
      </c>
      <c r="C477" s="1">
        <v>44681</v>
      </c>
      <c r="D477" t="s">
        <v>409</v>
      </c>
      <c r="E477" t="s">
        <v>74</v>
      </c>
      <c r="F477" t="s">
        <v>248</v>
      </c>
      <c r="G477" t="s">
        <v>210</v>
      </c>
      <c r="H477">
        <v>52281</v>
      </c>
      <c r="I477" t="s">
        <v>250</v>
      </c>
      <c r="J477" t="s">
        <v>155</v>
      </c>
      <c r="K477" t="s">
        <v>54</v>
      </c>
      <c r="L477">
        <v>2022</v>
      </c>
      <c r="M477">
        <v>3</v>
      </c>
      <c r="N477">
        <v>1.5</v>
      </c>
      <c r="O477">
        <v>2.5</v>
      </c>
      <c r="P477">
        <v>1.75</v>
      </c>
      <c r="Q477">
        <v>8.5</v>
      </c>
      <c r="R477">
        <v>5</v>
      </c>
      <c r="S477">
        <v>1.36</v>
      </c>
      <c r="T477">
        <v>7.5</v>
      </c>
      <c r="U477">
        <v>4.75</v>
      </c>
      <c r="V477">
        <v>1.41</v>
      </c>
      <c r="W477">
        <v>7.75</v>
      </c>
      <c r="X477">
        <v>4.8</v>
      </c>
      <c r="Y477">
        <v>1.4</v>
      </c>
      <c r="Z477">
        <v>8.02</v>
      </c>
      <c r="AA477">
        <v>4.99</v>
      </c>
      <c r="AB477">
        <v>1.43</v>
      </c>
      <c r="AC477">
        <v>8</v>
      </c>
      <c r="AD477">
        <v>4.5999999999999996</v>
      </c>
      <c r="AE477">
        <v>1.4</v>
      </c>
      <c r="AF477">
        <v>8</v>
      </c>
      <c r="AG477">
        <v>4.75</v>
      </c>
      <c r="AH477">
        <v>1.36</v>
      </c>
      <c r="AI477">
        <v>8.5</v>
      </c>
      <c r="AJ477">
        <v>5.0999999999999996</v>
      </c>
      <c r="AK477">
        <v>1.47</v>
      </c>
      <c r="AL477">
        <v>7.81</v>
      </c>
      <c r="AM477">
        <v>4.87</v>
      </c>
      <c r="AN477">
        <v>1.41</v>
      </c>
      <c r="AO477">
        <v>1</v>
      </c>
      <c r="AP477">
        <v>0.11835748792270499</v>
      </c>
      <c r="AQ477">
        <v>0.19726247987117501</v>
      </c>
      <c r="AR477">
        <v>0.68438003220611898</v>
      </c>
      <c r="AS477">
        <v>1</v>
      </c>
      <c r="AT477">
        <v>6.0386473429951898E-3</v>
      </c>
      <c r="AU477">
        <v>3.2674964499110599</v>
      </c>
      <c r="AV477">
        <f t="shared" si="40"/>
        <v>4.1977891652366368E+16</v>
      </c>
      <c r="AW477">
        <f t="shared" si="41"/>
        <v>4968397804265584</v>
      </c>
      <c r="AX477">
        <f t="shared" si="42"/>
        <v>8280663007109309</v>
      </c>
      <c r="AY477">
        <f t="shared" si="43"/>
        <v>2.8728830840991476E+16</v>
      </c>
      <c r="AZ477" cm="1">
        <f t="array" ref="AZ477">_xlfn.IFS(E477="H",AW477*AI477-AV477,E477="D",AX477*AJ477-AV477,E477="A",AY477*AK477-AV477)</f>
        <v>253489683891104</v>
      </c>
      <c r="BA477">
        <f t="shared" si="44"/>
        <v>3586682841900579.5</v>
      </c>
    </row>
    <row r="478" spans="1:53" x14ac:dyDescent="0.2">
      <c r="A478">
        <v>35</v>
      </c>
      <c r="B478" t="s">
        <v>55</v>
      </c>
      <c r="C478" s="1">
        <v>44681</v>
      </c>
      <c r="D478" t="s">
        <v>68</v>
      </c>
      <c r="E478" t="s">
        <v>49</v>
      </c>
      <c r="F478" t="s">
        <v>69</v>
      </c>
      <c r="G478" t="s">
        <v>217</v>
      </c>
      <c r="H478">
        <v>27390</v>
      </c>
      <c r="I478" t="s">
        <v>71</v>
      </c>
      <c r="J478" t="s">
        <v>437</v>
      </c>
      <c r="K478" t="s">
        <v>54</v>
      </c>
      <c r="L478">
        <v>2022</v>
      </c>
      <c r="M478">
        <v>2.25</v>
      </c>
      <c r="N478">
        <v>3.75</v>
      </c>
      <c r="O478">
        <v>0.5</v>
      </c>
      <c r="P478">
        <v>1.25</v>
      </c>
      <c r="Q478">
        <v>1.33</v>
      </c>
      <c r="R478">
        <v>5.5</v>
      </c>
      <c r="S478">
        <v>8</v>
      </c>
      <c r="T478">
        <v>1.33</v>
      </c>
      <c r="U478">
        <v>5.5</v>
      </c>
      <c r="V478">
        <v>8.5</v>
      </c>
      <c r="W478">
        <v>1.33</v>
      </c>
      <c r="X478">
        <v>5.5</v>
      </c>
      <c r="Y478">
        <v>8.25</v>
      </c>
      <c r="Z478">
        <v>1.34</v>
      </c>
      <c r="AA478">
        <v>5.86</v>
      </c>
      <c r="AB478">
        <v>9.3800000000000008</v>
      </c>
      <c r="AC478">
        <v>1.32</v>
      </c>
      <c r="AD478">
        <v>5.25</v>
      </c>
      <c r="AE478">
        <v>9</v>
      </c>
      <c r="AF478">
        <v>1.3</v>
      </c>
      <c r="AG478">
        <v>5.5</v>
      </c>
      <c r="AH478">
        <v>9.5</v>
      </c>
      <c r="AI478">
        <v>1.36</v>
      </c>
      <c r="AJ478">
        <v>6</v>
      </c>
      <c r="AK478">
        <v>10.45</v>
      </c>
      <c r="AL478">
        <v>1.33</v>
      </c>
      <c r="AM478">
        <v>5.57</v>
      </c>
      <c r="AN478">
        <v>8.9</v>
      </c>
      <c r="AO478">
        <v>1</v>
      </c>
      <c r="AP478">
        <v>0.73702275719390598</v>
      </c>
      <c r="AQ478">
        <v>0.16705849163061801</v>
      </c>
      <c r="AR478">
        <v>9.5918751175474895E-2</v>
      </c>
      <c r="AS478">
        <v>1</v>
      </c>
      <c r="AT478">
        <v>2.3509497837126401E-3</v>
      </c>
      <c r="AU478">
        <v>3.2698473996947701</v>
      </c>
      <c r="AV478">
        <f t="shared" si="40"/>
        <v>4.5564574494266944E+16</v>
      </c>
      <c r="AW478">
        <f t="shared" si="41"/>
        <v>3.3582128324131764E+16</v>
      </c>
      <c r="AX478">
        <f t="shared" si="42"/>
        <v>7611949086803200</v>
      </c>
      <c r="AY478">
        <f t="shared" si="43"/>
        <v>4370497083331980.5</v>
      </c>
      <c r="AZ478" cm="1">
        <f t="array" ref="AZ478">_xlfn.IFS(E478="H",AW478*AI478-AV478,E478="D",AX478*AJ478-AV478,E478="A",AY478*AK478-AV478)</f>
        <v>107120026552256</v>
      </c>
      <c r="BA478">
        <f t="shared" si="44"/>
        <v>3693802868452835.5</v>
      </c>
    </row>
    <row r="479" spans="1:53" x14ac:dyDescent="0.2">
      <c r="A479">
        <v>35</v>
      </c>
      <c r="B479" t="s">
        <v>67</v>
      </c>
      <c r="C479" s="1">
        <v>44682</v>
      </c>
      <c r="D479" t="s">
        <v>226</v>
      </c>
      <c r="E479" t="s">
        <v>74</v>
      </c>
      <c r="F479" t="s">
        <v>126</v>
      </c>
      <c r="G479" t="s">
        <v>178</v>
      </c>
      <c r="H479">
        <v>59959</v>
      </c>
      <c r="I479" t="s">
        <v>128</v>
      </c>
      <c r="J479" t="s">
        <v>219</v>
      </c>
      <c r="K479" t="s">
        <v>54</v>
      </c>
      <c r="L479">
        <v>2022</v>
      </c>
      <c r="M479">
        <v>2.5</v>
      </c>
      <c r="N479">
        <v>1.5</v>
      </c>
      <c r="O479">
        <v>1.5</v>
      </c>
      <c r="P479">
        <v>1.25</v>
      </c>
      <c r="Q479">
        <v>4.33</v>
      </c>
      <c r="R479">
        <v>3.8</v>
      </c>
      <c r="S479">
        <v>1.8</v>
      </c>
      <c r="T479">
        <v>4.5</v>
      </c>
      <c r="U479">
        <v>3.7</v>
      </c>
      <c r="V479">
        <v>1.77</v>
      </c>
      <c r="W479">
        <v>4.7</v>
      </c>
      <c r="X479">
        <v>3.75</v>
      </c>
      <c r="Y479">
        <v>1.75</v>
      </c>
      <c r="Z479">
        <v>4.68</v>
      </c>
      <c r="AA479">
        <v>3.92</v>
      </c>
      <c r="AB479">
        <v>1.8</v>
      </c>
      <c r="AC479">
        <v>4.33</v>
      </c>
      <c r="AD479">
        <v>3.75</v>
      </c>
      <c r="AE479">
        <v>1.78</v>
      </c>
      <c r="AF479">
        <v>4.5</v>
      </c>
      <c r="AG479">
        <v>3.6</v>
      </c>
      <c r="AH479">
        <v>1.75</v>
      </c>
      <c r="AI479">
        <v>4.75</v>
      </c>
      <c r="AJ479">
        <v>4.0999999999999996</v>
      </c>
      <c r="AK479">
        <v>1.84</v>
      </c>
      <c r="AL479">
        <v>4.54</v>
      </c>
      <c r="AM479">
        <v>3.84</v>
      </c>
      <c r="AN479">
        <v>1.79</v>
      </c>
      <c r="AO479">
        <v>1</v>
      </c>
      <c r="AP479">
        <v>0.21096786822897701</v>
      </c>
      <c r="AQ479">
        <v>0.24441399367991201</v>
      </c>
      <c r="AR479">
        <v>0.54461813809110904</v>
      </c>
      <c r="AS479">
        <v>1</v>
      </c>
      <c r="AT479">
        <v>2.0973740876422098E-3</v>
      </c>
      <c r="AU479">
        <v>3.2719447737824199</v>
      </c>
      <c r="AV479">
        <f t="shared" si="40"/>
        <v>4.9258377362719776E+16</v>
      </c>
      <c r="AW479">
        <f t="shared" si="41"/>
        <v>1.0391934864631504E+16</v>
      </c>
      <c r="AX479">
        <f t="shared" si="42"/>
        <v>1.203943673341455E+16</v>
      </c>
      <c r="AY479">
        <f t="shared" si="43"/>
        <v>2.682700576467372E+16</v>
      </c>
      <c r="AZ479" cm="1">
        <f t="array" ref="AZ479">_xlfn.IFS(E479="H",AW479*AI479-AV479,E479="D",AX479*AJ479-AV479,E479="A",AY479*AK479-AV479)</f>
        <v>103313244279872</v>
      </c>
      <c r="BA479">
        <f t="shared" si="44"/>
        <v>3797116112732707.5</v>
      </c>
    </row>
    <row r="480" spans="1:53" x14ac:dyDescent="0.2">
      <c r="A480">
        <v>35</v>
      </c>
      <c r="B480" t="s">
        <v>67</v>
      </c>
      <c r="C480" s="1">
        <v>44682</v>
      </c>
      <c r="D480" t="s">
        <v>183</v>
      </c>
      <c r="E480" t="s">
        <v>57</v>
      </c>
      <c r="F480" t="s">
        <v>64</v>
      </c>
      <c r="G480" t="s">
        <v>79</v>
      </c>
      <c r="H480">
        <v>10446</v>
      </c>
      <c r="I480" t="s">
        <v>105</v>
      </c>
      <c r="J480" t="s">
        <v>328</v>
      </c>
      <c r="K480" t="s">
        <v>54</v>
      </c>
      <c r="L480">
        <v>2022</v>
      </c>
      <c r="M480">
        <v>0.5</v>
      </c>
      <c r="N480">
        <v>0.75</v>
      </c>
      <c r="O480">
        <v>0</v>
      </c>
      <c r="P480">
        <v>0.5</v>
      </c>
      <c r="Q480">
        <v>1.72</v>
      </c>
      <c r="R480">
        <v>3.6</v>
      </c>
      <c r="S480">
        <v>5</v>
      </c>
      <c r="T480">
        <v>1.78</v>
      </c>
      <c r="U480">
        <v>3.8</v>
      </c>
      <c r="V480">
        <v>4.33</v>
      </c>
      <c r="W480">
        <v>1.7</v>
      </c>
      <c r="X480">
        <v>3.85</v>
      </c>
      <c r="Y480">
        <v>4.9000000000000004</v>
      </c>
      <c r="Z480">
        <v>1.76</v>
      </c>
      <c r="AA480">
        <v>4.03</v>
      </c>
      <c r="AB480">
        <v>4.8</v>
      </c>
      <c r="AC480">
        <v>1.75</v>
      </c>
      <c r="AD480">
        <v>3.7</v>
      </c>
      <c r="AE480">
        <v>4.5999999999999996</v>
      </c>
      <c r="AF480">
        <v>1.73</v>
      </c>
      <c r="AG480">
        <v>3.7</v>
      </c>
      <c r="AH480">
        <v>4.75</v>
      </c>
      <c r="AI480">
        <v>1.81</v>
      </c>
      <c r="AJ480">
        <v>4.0999999999999996</v>
      </c>
      <c r="AK480">
        <v>5</v>
      </c>
      <c r="AL480">
        <v>1.75</v>
      </c>
      <c r="AM480">
        <v>3.84</v>
      </c>
      <c r="AN480">
        <v>4.62</v>
      </c>
      <c r="AO480">
        <v>1</v>
      </c>
      <c r="AP480">
        <v>0.55448865326877805</v>
      </c>
      <c r="AQ480">
        <v>0.244786454247924</v>
      </c>
      <c r="AR480">
        <v>0.200724892483297</v>
      </c>
      <c r="AS480">
        <v>1</v>
      </c>
      <c r="AT480">
        <v>3.62446241648872E-3</v>
      </c>
      <c r="AU480">
        <v>3.2755692361989102</v>
      </c>
      <c r="AV480">
        <f t="shared" si="40"/>
        <v>5.305549347545248E+16</v>
      </c>
      <c r="AW480">
        <f t="shared" si="41"/>
        <v>2.9418669125714096E+16</v>
      </c>
      <c r="AX480">
        <f t="shared" si="42"/>
        <v>1.2987266126229882E+16</v>
      </c>
      <c r="AY480">
        <f t="shared" si="43"/>
        <v>1.0649558223508502E+16</v>
      </c>
      <c r="AZ480" cm="1">
        <f t="array" ref="AZ480">_xlfn.IFS(E480="H",AW480*AI480-AV480,E480="D",AX480*AJ480-AV480,E480="A",AY480*AK480-AV480)</f>
        <v>192297642090032</v>
      </c>
      <c r="BA480">
        <f t="shared" si="44"/>
        <v>3989413754822739.5</v>
      </c>
    </row>
    <row r="481" spans="1:53" x14ac:dyDescent="0.2">
      <c r="A481">
        <v>35</v>
      </c>
      <c r="B481" t="s">
        <v>198</v>
      </c>
      <c r="C481" s="1">
        <v>44683</v>
      </c>
      <c r="D481" t="s">
        <v>48</v>
      </c>
      <c r="E481" t="s">
        <v>57</v>
      </c>
      <c r="F481" t="s">
        <v>195</v>
      </c>
      <c r="G481" t="s">
        <v>447</v>
      </c>
      <c r="H481">
        <v>17011</v>
      </c>
      <c r="I481" t="s">
        <v>207</v>
      </c>
      <c r="J481" t="s">
        <v>413</v>
      </c>
      <c r="K481" t="s">
        <v>54</v>
      </c>
      <c r="L481">
        <v>2022</v>
      </c>
      <c r="M481">
        <v>0.5</v>
      </c>
      <c r="N481">
        <v>1.5</v>
      </c>
      <c r="O481">
        <v>1.5</v>
      </c>
      <c r="P481">
        <v>1</v>
      </c>
      <c r="Q481">
        <v>1.25</v>
      </c>
      <c r="R481">
        <v>6.5</v>
      </c>
      <c r="S481">
        <v>9.5</v>
      </c>
      <c r="T481">
        <v>1.26</v>
      </c>
      <c r="U481">
        <v>6</v>
      </c>
      <c r="V481">
        <v>11.5</v>
      </c>
      <c r="W481">
        <v>1.27</v>
      </c>
      <c r="X481">
        <v>6.25</v>
      </c>
      <c r="Y481">
        <v>10</v>
      </c>
      <c r="Z481">
        <v>1.27</v>
      </c>
      <c r="AA481">
        <v>6.16</v>
      </c>
      <c r="AB481">
        <v>12.06</v>
      </c>
      <c r="AC481">
        <v>1.27</v>
      </c>
      <c r="AD481">
        <v>5.5</v>
      </c>
      <c r="AE481">
        <v>11</v>
      </c>
      <c r="AF481">
        <v>1.22</v>
      </c>
      <c r="AG481">
        <v>5.75</v>
      </c>
      <c r="AH481">
        <v>13</v>
      </c>
      <c r="AI481">
        <v>1.33</v>
      </c>
      <c r="AJ481">
        <v>6.75</v>
      </c>
      <c r="AK481">
        <v>13</v>
      </c>
      <c r="AL481">
        <v>1.27</v>
      </c>
      <c r="AM481">
        <v>6.01</v>
      </c>
      <c r="AN481">
        <v>11.1</v>
      </c>
      <c r="AO481">
        <v>1</v>
      </c>
      <c r="AP481">
        <v>0.76961869888394296</v>
      </c>
      <c r="AQ481">
        <v>0.15164338807639099</v>
      </c>
      <c r="AR481">
        <v>7.8737913039664903E-2</v>
      </c>
      <c r="AS481">
        <v>1</v>
      </c>
      <c r="AT481">
        <v>2.3592869515644401E-2</v>
      </c>
      <c r="AU481">
        <v>3.2991621057145499</v>
      </c>
      <c r="AV481">
        <f t="shared" si="40"/>
        <v>5.7044907230275216E+16</v>
      </c>
      <c r="AW481">
        <f t="shared" si="41"/>
        <v>4.3902827280519656E+16</v>
      </c>
      <c r="AX481">
        <f t="shared" si="42"/>
        <v>8650483004902392</v>
      </c>
      <c r="AY481">
        <f t="shared" si="43"/>
        <v>4491596944853165.5</v>
      </c>
      <c r="AZ481" cm="1">
        <f t="array" ref="AZ481">_xlfn.IFS(E481="H",AW481*AI481-AV481,E481="D",AX481*AJ481-AV481,E481="A",AY481*AK481-AV481)</f>
        <v>1345853052815928</v>
      </c>
      <c r="BA481">
        <f t="shared" si="44"/>
        <v>5335266807638668</v>
      </c>
    </row>
    <row r="482" spans="1:53" x14ac:dyDescent="0.2">
      <c r="A482">
        <v>36</v>
      </c>
      <c r="B482" t="s">
        <v>55</v>
      </c>
      <c r="C482" s="1">
        <v>44688</v>
      </c>
      <c r="D482" t="s">
        <v>90</v>
      </c>
      <c r="E482" t="s">
        <v>49</v>
      </c>
      <c r="F482" t="s">
        <v>471</v>
      </c>
      <c r="G482" t="s">
        <v>152</v>
      </c>
      <c r="H482">
        <v>17051</v>
      </c>
      <c r="I482" t="s">
        <v>472</v>
      </c>
      <c r="J482" t="s">
        <v>473</v>
      </c>
      <c r="K482" t="s">
        <v>54</v>
      </c>
      <c r="L482">
        <v>2022</v>
      </c>
      <c r="M482">
        <v>1.75</v>
      </c>
      <c r="N482">
        <v>1</v>
      </c>
      <c r="O482">
        <v>0.5</v>
      </c>
      <c r="P482">
        <v>0.75</v>
      </c>
      <c r="Q482">
        <v>2.15</v>
      </c>
      <c r="R482">
        <v>3.5</v>
      </c>
      <c r="S482">
        <v>3.3</v>
      </c>
      <c r="T482">
        <v>2.15</v>
      </c>
      <c r="U482">
        <v>3.4</v>
      </c>
      <c r="V482">
        <v>3.25</v>
      </c>
      <c r="W482">
        <v>2.25</v>
      </c>
      <c r="X482">
        <v>3.2</v>
      </c>
      <c r="Y482">
        <v>3.4</v>
      </c>
      <c r="Z482">
        <v>2.25</v>
      </c>
      <c r="AA482">
        <v>3.42</v>
      </c>
      <c r="AB482">
        <v>3.5</v>
      </c>
      <c r="AC482">
        <v>2.0499999999999998</v>
      </c>
      <c r="AD482">
        <v>3.6</v>
      </c>
      <c r="AE482">
        <v>3.4</v>
      </c>
      <c r="AF482">
        <v>2.15</v>
      </c>
      <c r="AG482">
        <v>3.3</v>
      </c>
      <c r="AH482">
        <v>3.3</v>
      </c>
      <c r="AI482">
        <v>2.2799999999999998</v>
      </c>
      <c r="AJ482">
        <v>3.62</v>
      </c>
      <c r="AK482">
        <v>3.55</v>
      </c>
      <c r="AL482">
        <v>2.21</v>
      </c>
      <c r="AM482">
        <v>3.44</v>
      </c>
      <c r="AN482">
        <v>3.35</v>
      </c>
      <c r="AO482">
        <v>1</v>
      </c>
      <c r="AP482">
        <v>0.44012384155404699</v>
      </c>
      <c r="AQ482">
        <v>0.27720507147602902</v>
      </c>
      <c r="AR482">
        <v>0.28267108696992299</v>
      </c>
      <c r="AS482">
        <v>1</v>
      </c>
      <c r="AT482">
        <v>3.48235874322733E-3</v>
      </c>
      <c r="AU482">
        <v>3.3026444644577801</v>
      </c>
      <c r="AV482">
        <f t="shared" si="40"/>
        <v>6.2380174037913888E+16</v>
      </c>
      <c r="AW482">
        <f t="shared" si="41"/>
        <v>2.7455001834376696E+16</v>
      </c>
      <c r="AX482">
        <f t="shared" si="42"/>
        <v>1.7292100602867088E+16</v>
      </c>
      <c r="AY482">
        <f t="shared" si="43"/>
        <v>1.7633071600670104E+16</v>
      </c>
      <c r="AZ482" cm="1">
        <f t="array" ref="AZ482">_xlfn.IFS(E482="H",AW482*AI482-AV482,E482="D",AX482*AJ482-AV482,E482="A",AY482*AK482-AV482)</f>
        <v>217230144464976</v>
      </c>
      <c r="BA482">
        <f t="shared" si="44"/>
        <v>5552496952103644</v>
      </c>
    </row>
    <row r="483" spans="1:53" x14ac:dyDescent="0.2">
      <c r="A483">
        <v>36</v>
      </c>
      <c r="B483" t="s">
        <v>67</v>
      </c>
      <c r="C483" s="1">
        <v>44689</v>
      </c>
      <c r="D483" t="s">
        <v>107</v>
      </c>
      <c r="E483" t="s">
        <v>57</v>
      </c>
      <c r="F483" t="s">
        <v>447</v>
      </c>
      <c r="G483" t="s">
        <v>141</v>
      </c>
      <c r="H483">
        <v>28048</v>
      </c>
      <c r="I483" t="s">
        <v>448</v>
      </c>
      <c r="J483" t="s">
        <v>398</v>
      </c>
      <c r="K483" t="s">
        <v>54</v>
      </c>
      <c r="L483">
        <v>2022</v>
      </c>
      <c r="M483">
        <v>1.75</v>
      </c>
      <c r="N483">
        <v>1.5</v>
      </c>
      <c r="O483">
        <v>0.75</v>
      </c>
      <c r="P483">
        <v>0.75</v>
      </c>
      <c r="Q483">
        <v>2.37</v>
      </c>
      <c r="R483">
        <v>3.4</v>
      </c>
      <c r="S483">
        <v>3</v>
      </c>
      <c r="T483">
        <v>2.4500000000000002</v>
      </c>
      <c r="U483">
        <v>3.4</v>
      </c>
      <c r="V483">
        <v>2.8</v>
      </c>
      <c r="W483">
        <v>2.4</v>
      </c>
      <c r="X483">
        <v>3.3</v>
      </c>
      <c r="Y483">
        <v>3</v>
      </c>
      <c r="Z483">
        <v>2.48</v>
      </c>
      <c r="AA483">
        <v>3.4</v>
      </c>
      <c r="AB483">
        <v>3.08</v>
      </c>
      <c r="AC483">
        <v>2.38</v>
      </c>
      <c r="AD483">
        <v>3.25</v>
      </c>
      <c r="AE483">
        <v>3</v>
      </c>
      <c r="AF483">
        <v>2.38</v>
      </c>
      <c r="AG483">
        <v>3.13</v>
      </c>
      <c r="AH483">
        <v>3.13</v>
      </c>
      <c r="AI483">
        <v>2.5499999999999998</v>
      </c>
      <c r="AJ483">
        <v>3.52</v>
      </c>
      <c r="AK483">
        <v>3.15</v>
      </c>
      <c r="AL483">
        <v>2.42</v>
      </c>
      <c r="AM483">
        <v>3.34</v>
      </c>
      <c r="AN483">
        <v>3.03</v>
      </c>
      <c r="AO483">
        <v>1</v>
      </c>
      <c r="AP483">
        <v>0.39463990176712399</v>
      </c>
      <c r="AQ483">
        <v>0.28588970156425098</v>
      </c>
      <c r="AR483">
        <v>0.31947039666862398</v>
      </c>
      <c r="AS483">
        <v>1</v>
      </c>
      <c r="AT483">
        <v>6.3317495061660997E-3</v>
      </c>
      <c r="AU483">
        <v>3.3089762139639398</v>
      </c>
      <c r="AV483">
        <f t="shared" si="40"/>
        <v>6.7932670990017536E+16</v>
      </c>
      <c r="AW483">
        <f t="shared" si="41"/>
        <v>2.6808942606278876E+16</v>
      </c>
      <c r="AX483">
        <f t="shared" si="42"/>
        <v>1.9421251035798616E+16</v>
      </c>
      <c r="AY483">
        <f t="shared" si="43"/>
        <v>2.170247734794004E+16</v>
      </c>
      <c r="AZ483" cm="1">
        <f t="array" ref="AZ483">_xlfn.IFS(E483="H",AW483*AI483-AV483,E483="D",AX483*AJ483-AV483,E483="A",AY483*AK483-AV483)</f>
        <v>430132655993592</v>
      </c>
      <c r="BA483">
        <f t="shared" si="44"/>
        <v>5982629608097236</v>
      </c>
    </row>
    <row r="484" spans="1:53" x14ac:dyDescent="0.2">
      <c r="A484">
        <v>36</v>
      </c>
      <c r="B484" t="s">
        <v>198</v>
      </c>
      <c r="C484" s="1">
        <v>44690</v>
      </c>
      <c r="D484" t="s">
        <v>48</v>
      </c>
      <c r="E484" t="s">
        <v>49</v>
      </c>
      <c r="F484" t="s">
        <v>181</v>
      </c>
      <c r="G484" t="s">
        <v>108</v>
      </c>
      <c r="H484">
        <v>29580</v>
      </c>
      <c r="I484" t="s">
        <v>344</v>
      </c>
      <c r="J484" t="s">
        <v>413</v>
      </c>
      <c r="K484" t="s">
        <v>54</v>
      </c>
      <c r="L484">
        <v>2022</v>
      </c>
      <c r="M484">
        <v>2.25</v>
      </c>
      <c r="N484">
        <v>0.75</v>
      </c>
      <c r="O484">
        <v>1.25</v>
      </c>
      <c r="P484">
        <v>1</v>
      </c>
      <c r="Q484">
        <v>2.37</v>
      </c>
      <c r="R484">
        <v>3.3</v>
      </c>
      <c r="S484">
        <v>3</v>
      </c>
      <c r="T484">
        <v>2.4</v>
      </c>
      <c r="U484">
        <v>3.3</v>
      </c>
      <c r="V484">
        <v>2.9</v>
      </c>
      <c r="W484">
        <v>2.4</v>
      </c>
      <c r="X484">
        <v>3.35</v>
      </c>
      <c r="Y484">
        <v>3</v>
      </c>
      <c r="Z484">
        <v>2.4</v>
      </c>
      <c r="AA484">
        <v>3.45</v>
      </c>
      <c r="AB484">
        <v>3.16</v>
      </c>
      <c r="AC484">
        <v>2.38</v>
      </c>
      <c r="AD484">
        <v>3.4</v>
      </c>
      <c r="AE484">
        <v>2.88</v>
      </c>
      <c r="AF484">
        <v>2.38</v>
      </c>
      <c r="AG484">
        <v>3.25</v>
      </c>
      <c r="AH484">
        <v>3</v>
      </c>
      <c r="AI484">
        <v>2.5499999999999998</v>
      </c>
      <c r="AJ484">
        <v>3.68</v>
      </c>
      <c r="AK484">
        <v>3.16</v>
      </c>
      <c r="AL484">
        <v>2.39</v>
      </c>
      <c r="AM484">
        <v>3.41</v>
      </c>
      <c r="AN484">
        <v>3.02</v>
      </c>
      <c r="AO484">
        <v>1</v>
      </c>
      <c r="AP484">
        <v>0.40001651141351402</v>
      </c>
      <c r="AQ484">
        <v>0.277185354376212</v>
      </c>
      <c r="AR484">
        <v>0.32279813421027198</v>
      </c>
      <c r="AS484">
        <v>1</v>
      </c>
      <c r="AT484">
        <v>2.0042104104462E-2</v>
      </c>
      <c r="AU484">
        <v>3.3290183180684099</v>
      </c>
      <c r="AV484">
        <f t="shared" si="40"/>
        <v>7.3915300598114768E+16</v>
      </c>
      <c r="AW484">
        <f t="shared" si="41"/>
        <v>2.956734068533914E+16</v>
      </c>
      <c r="AX484">
        <f t="shared" si="42"/>
        <v>2.0488238790112716E+16</v>
      </c>
      <c r="AY484">
        <f t="shared" si="43"/>
        <v>2.3859721122662912E+16</v>
      </c>
      <c r="AZ484" cm="1">
        <f t="array" ref="AZ484">_xlfn.IFS(E484="H",AW484*AI484-AV484,E484="D",AX484*AJ484-AV484,E484="A",AY484*AK484-AV484)</f>
        <v>1481418149500032</v>
      </c>
      <c r="BA484">
        <f t="shared" si="44"/>
        <v>7464047757597268</v>
      </c>
    </row>
    <row r="485" spans="1:53" x14ac:dyDescent="0.2">
      <c r="A485">
        <v>33</v>
      </c>
      <c r="B485" t="s">
        <v>130</v>
      </c>
      <c r="C485" s="1">
        <v>44691</v>
      </c>
      <c r="D485" t="s">
        <v>151</v>
      </c>
      <c r="E485" t="s">
        <v>74</v>
      </c>
      <c r="F485" t="s">
        <v>213</v>
      </c>
      <c r="G485" t="s">
        <v>210</v>
      </c>
      <c r="H485">
        <v>41919</v>
      </c>
      <c r="I485" t="s">
        <v>214</v>
      </c>
      <c r="J485" t="s">
        <v>332</v>
      </c>
      <c r="K485" t="s">
        <v>54</v>
      </c>
      <c r="L485">
        <v>2022</v>
      </c>
      <c r="M485">
        <v>1.5</v>
      </c>
      <c r="N485">
        <v>1.5</v>
      </c>
      <c r="O485">
        <v>2.5</v>
      </c>
      <c r="P485">
        <v>1.75</v>
      </c>
      <c r="Q485">
        <v>7.5</v>
      </c>
      <c r="R485">
        <v>4.75</v>
      </c>
      <c r="S485">
        <v>1.4</v>
      </c>
      <c r="T485">
        <v>7</v>
      </c>
      <c r="U485">
        <v>4.5999999999999996</v>
      </c>
      <c r="V485">
        <v>1.44</v>
      </c>
      <c r="W485">
        <v>7</v>
      </c>
      <c r="X485">
        <v>4.8</v>
      </c>
      <c r="Y485">
        <v>1.43</v>
      </c>
      <c r="Z485">
        <v>7.54</v>
      </c>
      <c r="AA485">
        <v>5</v>
      </c>
      <c r="AB485">
        <v>1.44</v>
      </c>
      <c r="AC485">
        <v>7.5</v>
      </c>
      <c r="AD485">
        <v>4.5</v>
      </c>
      <c r="AE485">
        <v>1.42</v>
      </c>
      <c r="AF485">
        <v>8</v>
      </c>
      <c r="AG485">
        <v>5</v>
      </c>
      <c r="AH485">
        <v>1.4</v>
      </c>
      <c r="AI485">
        <v>8</v>
      </c>
      <c r="AJ485">
        <v>5</v>
      </c>
      <c r="AK485">
        <v>1.56</v>
      </c>
      <c r="AL485">
        <v>7.35</v>
      </c>
      <c r="AM485">
        <v>4.8499999999999996</v>
      </c>
      <c r="AN485">
        <v>1.44</v>
      </c>
      <c r="AO485">
        <v>1</v>
      </c>
      <c r="AP485">
        <v>0.12939615129396101</v>
      </c>
      <c r="AQ485">
        <v>0.20703384207033801</v>
      </c>
      <c r="AR485">
        <v>0.66357000663569998</v>
      </c>
      <c r="AS485">
        <v>1</v>
      </c>
      <c r="AT485">
        <v>3.5169210351692001E-2</v>
      </c>
      <c r="AU485">
        <v>3.3641875284200999</v>
      </c>
      <c r="AV485">
        <f t="shared" si="40"/>
        <v>8.1379348355712032E+16</v>
      </c>
      <c r="AW485">
        <f t="shared" si="41"/>
        <v>1.0530174472039714E+16</v>
      </c>
      <c r="AX485">
        <f t="shared" si="42"/>
        <v>1.6848279155263542E+16</v>
      </c>
      <c r="AY485">
        <f t="shared" si="43"/>
        <v>5.4000894728408776E+16</v>
      </c>
      <c r="AZ485" cm="1">
        <f t="array" ref="AZ485">_xlfn.IFS(E485="H",AW485*AI485-AV485,E485="D",AX485*AJ485-AV485,E485="A",AY485*AK485-AV485)</f>
        <v>2862047420605664</v>
      </c>
      <c r="BA485">
        <f t="shared" si="44"/>
        <v>1.0326095178202932E+16</v>
      </c>
    </row>
    <row r="486" spans="1:53" x14ac:dyDescent="0.2">
      <c r="A486">
        <v>36</v>
      </c>
      <c r="B486" t="s">
        <v>130</v>
      </c>
      <c r="C486" s="1">
        <v>44691</v>
      </c>
      <c r="D486" t="s">
        <v>418</v>
      </c>
      <c r="E486" t="s">
        <v>74</v>
      </c>
      <c r="F486" t="s">
        <v>353</v>
      </c>
      <c r="G486" t="s">
        <v>236</v>
      </c>
      <c r="H486">
        <v>28091</v>
      </c>
      <c r="I486" t="s">
        <v>394</v>
      </c>
      <c r="J486" t="s">
        <v>265</v>
      </c>
      <c r="K486" t="s">
        <v>54</v>
      </c>
      <c r="L486">
        <v>2022</v>
      </c>
      <c r="M486">
        <v>1.25</v>
      </c>
      <c r="N486">
        <v>1.25</v>
      </c>
      <c r="O486">
        <v>1.5</v>
      </c>
      <c r="P486">
        <v>0.5</v>
      </c>
      <c r="Q486">
        <v>3.1</v>
      </c>
      <c r="R486">
        <v>3.4</v>
      </c>
      <c r="S486">
        <v>2.2000000000000002</v>
      </c>
      <c r="T486">
        <v>3.2</v>
      </c>
      <c r="U486">
        <v>3.3</v>
      </c>
      <c r="V486">
        <v>2.25</v>
      </c>
      <c r="W486">
        <v>3.2</v>
      </c>
      <c r="X486">
        <v>3.35</v>
      </c>
      <c r="Y486">
        <v>2.2999999999999998</v>
      </c>
      <c r="Z486">
        <v>3.24</v>
      </c>
      <c r="AA486">
        <v>3.46</v>
      </c>
      <c r="AB486">
        <v>2.36</v>
      </c>
      <c r="AC486">
        <v>3.25</v>
      </c>
      <c r="AD486">
        <v>3.25</v>
      </c>
      <c r="AE486">
        <v>2.25</v>
      </c>
      <c r="AF486">
        <v>3.2</v>
      </c>
      <c r="AG486">
        <v>3.3</v>
      </c>
      <c r="AH486">
        <v>2.2999999999999998</v>
      </c>
      <c r="AI486">
        <v>3.32</v>
      </c>
      <c r="AJ486">
        <v>3.56</v>
      </c>
      <c r="AK486">
        <v>2.4</v>
      </c>
      <c r="AL486">
        <v>3.23</v>
      </c>
      <c r="AM486">
        <v>3.39</v>
      </c>
      <c r="AN486">
        <v>2.2999999999999998</v>
      </c>
      <c r="AO486">
        <v>1</v>
      </c>
      <c r="AP486">
        <v>0.301575648048794</v>
      </c>
      <c r="AQ486">
        <v>0.281244705483707</v>
      </c>
      <c r="AR486">
        <v>0.417179646467498</v>
      </c>
      <c r="AS486">
        <v>1</v>
      </c>
      <c r="AT486">
        <v>1.23115152199693E-3</v>
      </c>
      <c r="AU486">
        <v>3.3654186799420902</v>
      </c>
      <c r="AV486">
        <f t="shared" si="40"/>
        <v>9.170544353391496E+16</v>
      </c>
      <c r="AW486">
        <f t="shared" si="41"/>
        <v>2.7656128563342516E+16</v>
      </c>
      <c r="AX486">
        <f t="shared" si="42"/>
        <v>2.5791670457948636E+16</v>
      </c>
      <c r="AY486">
        <f t="shared" si="43"/>
        <v>3.8257644512623808E+16</v>
      </c>
      <c r="AZ486" cm="1">
        <f t="array" ref="AZ486">_xlfn.IFS(E486="H",AW486*AI486-AV486,E486="D",AX486*AJ486-AV486,E486="A",AY486*AK486-AV486)</f>
        <v>112903296382176</v>
      </c>
      <c r="BA486">
        <f t="shared" si="44"/>
        <v>1.0438998474585108E+16</v>
      </c>
    </row>
    <row r="487" spans="1:53" x14ac:dyDescent="0.2">
      <c r="A487">
        <v>30</v>
      </c>
      <c r="B487" t="s">
        <v>202</v>
      </c>
      <c r="C487" s="1">
        <v>44692</v>
      </c>
      <c r="D487" t="s">
        <v>470</v>
      </c>
      <c r="E487" t="s">
        <v>57</v>
      </c>
      <c r="F487" t="s">
        <v>230</v>
      </c>
      <c r="G487" t="s">
        <v>252</v>
      </c>
      <c r="H487">
        <v>20653</v>
      </c>
      <c r="I487" t="s">
        <v>313</v>
      </c>
      <c r="J487" t="s">
        <v>219</v>
      </c>
      <c r="K487" t="s">
        <v>54</v>
      </c>
      <c r="L487">
        <v>2022</v>
      </c>
      <c r="M487">
        <v>0</v>
      </c>
      <c r="N487">
        <v>1</v>
      </c>
      <c r="O487">
        <v>0.75</v>
      </c>
      <c r="P487">
        <v>1.25</v>
      </c>
      <c r="Q487">
        <v>4.2</v>
      </c>
      <c r="R487">
        <v>3.6</v>
      </c>
      <c r="S487">
        <v>1.83</v>
      </c>
      <c r="T487">
        <v>4.0999999999999996</v>
      </c>
      <c r="U487">
        <v>3.6</v>
      </c>
      <c r="V487">
        <v>1.85</v>
      </c>
      <c r="W487">
        <v>4.2</v>
      </c>
      <c r="X487">
        <v>3.7</v>
      </c>
      <c r="Y487">
        <v>1.85</v>
      </c>
      <c r="Z487">
        <v>4.43</v>
      </c>
      <c r="AA487">
        <v>3.73</v>
      </c>
      <c r="AB487">
        <v>1.88</v>
      </c>
      <c r="AC487">
        <v>4</v>
      </c>
      <c r="AD487">
        <v>3.6</v>
      </c>
      <c r="AE487">
        <v>1.88</v>
      </c>
      <c r="AF487">
        <v>4.2</v>
      </c>
      <c r="AG487">
        <v>3.5</v>
      </c>
      <c r="AH487">
        <v>1.83</v>
      </c>
      <c r="AI487">
        <v>4.5</v>
      </c>
      <c r="AJ487">
        <v>3.89</v>
      </c>
      <c r="AK487">
        <v>1.93</v>
      </c>
      <c r="AL487">
        <v>4.26</v>
      </c>
      <c r="AM487">
        <v>3.68</v>
      </c>
      <c r="AN487">
        <v>1.87</v>
      </c>
      <c r="AO487">
        <v>1</v>
      </c>
      <c r="AP487">
        <v>0.22279562106612599</v>
      </c>
      <c r="AQ487">
        <v>0.25773272359834598</v>
      </c>
      <c r="AR487">
        <v>0.51947165533552697</v>
      </c>
      <c r="AS487">
        <v>1</v>
      </c>
      <c r="AT487">
        <v>2.58029479756793E-3</v>
      </c>
      <c r="AU487">
        <v>3.3679989747396601</v>
      </c>
      <c r="AV487">
        <f t="shared" si="40"/>
        <v>1.0214444200850006E+17</v>
      </c>
      <c r="AW487">
        <f t="shared" si="41"/>
        <v>2.275733439573668E+16</v>
      </c>
      <c r="AX487">
        <f t="shared" si="42"/>
        <v>2.6325965239284076E+16</v>
      </c>
      <c r="AY487">
        <f t="shared" si="43"/>
        <v>5.3061142373479312E+16</v>
      </c>
      <c r="AZ487" cm="1">
        <f t="array" ref="AZ487">_xlfn.IFS(E487="H",AW487*AI487-AV487,E487="D",AX487*AJ487-AV487,E487="A",AY487*AK487-AV487)</f>
        <v>263562772314992</v>
      </c>
      <c r="BA487">
        <f t="shared" si="44"/>
        <v>1.07025612469001E+16</v>
      </c>
    </row>
    <row r="488" spans="1:53" x14ac:dyDescent="0.2">
      <c r="A488">
        <v>34</v>
      </c>
      <c r="B488" t="s">
        <v>55</v>
      </c>
      <c r="C488" s="1">
        <v>44695</v>
      </c>
      <c r="D488" t="s">
        <v>73</v>
      </c>
      <c r="E488" t="s">
        <v>57</v>
      </c>
      <c r="F488" t="s">
        <v>75</v>
      </c>
      <c r="G488" t="s">
        <v>200</v>
      </c>
      <c r="H488">
        <v>33000</v>
      </c>
      <c r="I488" t="s">
        <v>77</v>
      </c>
      <c r="J488" t="s">
        <v>78</v>
      </c>
      <c r="K488" t="s">
        <v>54</v>
      </c>
      <c r="L488">
        <v>2022</v>
      </c>
      <c r="M488">
        <v>1.75</v>
      </c>
      <c r="N488">
        <v>1.75</v>
      </c>
      <c r="O488">
        <v>1</v>
      </c>
      <c r="P488">
        <v>1</v>
      </c>
      <c r="Q488">
        <v>1.7</v>
      </c>
      <c r="R488">
        <v>4.33</v>
      </c>
      <c r="S488">
        <v>4.33</v>
      </c>
      <c r="T488">
        <v>1.65</v>
      </c>
      <c r="U488">
        <v>4.33</v>
      </c>
      <c r="V488">
        <v>4.5</v>
      </c>
      <c r="W488">
        <v>1.67</v>
      </c>
      <c r="X488">
        <v>4.5</v>
      </c>
      <c r="Y488">
        <v>4.4000000000000004</v>
      </c>
      <c r="Z488">
        <v>1.72</v>
      </c>
      <c r="AA488">
        <v>4.34</v>
      </c>
      <c r="AB488">
        <v>4.55</v>
      </c>
      <c r="AC488">
        <v>1.62</v>
      </c>
      <c r="AD488">
        <v>4.33</v>
      </c>
      <c r="AE488">
        <v>4.75</v>
      </c>
      <c r="AF488">
        <v>1.67</v>
      </c>
      <c r="AG488">
        <v>4.4000000000000004</v>
      </c>
      <c r="AH488">
        <v>4.33</v>
      </c>
      <c r="AI488">
        <v>1.75</v>
      </c>
      <c r="AJ488">
        <v>4.6399999999999997</v>
      </c>
      <c r="AK488">
        <v>4.95</v>
      </c>
      <c r="AL488">
        <v>1.69</v>
      </c>
      <c r="AM488">
        <v>4.41</v>
      </c>
      <c r="AN488">
        <v>4.5</v>
      </c>
      <c r="AO488">
        <v>1</v>
      </c>
      <c r="AP488">
        <v>0.57780405277920999</v>
      </c>
      <c r="AQ488">
        <v>0.21792178714733099</v>
      </c>
      <c r="AR488">
        <v>0.204274160073458</v>
      </c>
      <c r="AS488">
        <v>1</v>
      </c>
      <c r="AT488">
        <v>1.11570923636179E-2</v>
      </c>
      <c r="AU488">
        <v>3.3791560671032799</v>
      </c>
      <c r="AV488">
        <f t="shared" si="40"/>
        <v>1.1284700325540016E+17</v>
      </c>
      <c r="AW488">
        <f t="shared" si="41"/>
        <v>6.5203455824958952E+16</v>
      </c>
      <c r="AX488">
        <f t="shared" si="42"/>
        <v>2.459182062363754E+16</v>
      </c>
      <c r="AY488">
        <f t="shared" si="43"/>
        <v>2.3051726806803672E+16</v>
      </c>
      <c r="AZ488" cm="1">
        <f t="array" ref="AZ488">_xlfn.IFS(E488="H",AW488*AI488-AV488,E488="D",AX488*AJ488-AV488,E488="A",AY488*AK488-AV488)</f>
        <v>1259044438278016</v>
      </c>
      <c r="BA488">
        <f t="shared" si="44"/>
        <v>1.1961605685178116E+16</v>
      </c>
    </row>
    <row r="489" spans="1:53" x14ac:dyDescent="0.2">
      <c r="A489">
        <v>37</v>
      </c>
      <c r="B489" t="s">
        <v>55</v>
      </c>
      <c r="C489" s="1">
        <v>44695</v>
      </c>
      <c r="D489" t="s">
        <v>68</v>
      </c>
      <c r="E489" t="s">
        <v>49</v>
      </c>
      <c r="F489" t="s">
        <v>79</v>
      </c>
      <c r="G489" t="s">
        <v>51</v>
      </c>
      <c r="H489">
        <v>17213</v>
      </c>
      <c r="I489" t="s">
        <v>426</v>
      </c>
      <c r="J489" t="s">
        <v>408</v>
      </c>
      <c r="K489" t="s">
        <v>54</v>
      </c>
      <c r="L489">
        <v>2022</v>
      </c>
      <c r="M489">
        <v>1</v>
      </c>
      <c r="N489">
        <v>1.25</v>
      </c>
      <c r="O489">
        <v>0.5</v>
      </c>
      <c r="P489">
        <v>1.25</v>
      </c>
      <c r="Q489">
        <v>1.9</v>
      </c>
      <c r="R489">
        <v>3.8</v>
      </c>
      <c r="S489">
        <v>3.75</v>
      </c>
      <c r="T489">
        <v>1.95</v>
      </c>
      <c r="U489">
        <v>3.6</v>
      </c>
      <c r="V489">
        <v>3.7</v>
      </c>
      <c r="W489">
        <v>1.85</v>
      </c>
      <c r="X489">
        <v>3.8</v>
      </c>
      <c r="Y489">
        <v>4.0999999999999996</v>
      </c>
      <c r="Z489">
        <v>1.99</v>
      </c>
      <c r="AA489">
        <v>3.82</v>
      </c>
      <c r="AB489">
        <v>3.79</v>
      </c>
      <c r="AC489">
        <v>2.0499999999999998</v>
      </c>
      <c r="AD489">
        <v>3.5</v>
      </c>
      <c r="AE489">
        <v>3.5</v>
      </c>
      <c r="AF489">
        <v>1.95</v>
      </c>
      <c r="AG489">
        <v>3.6</v>
      </c>
      <c r="AH489">
        <v>3.8</v>
      </c>
      <c r="AI489">
        <v>2.0299999999999998</v>
      </c>
      <c r="AJ489">
        <v>3.92</v>
      </c>
      <c r="AK489">
        <v>4.0999999999999996</v>
      </c>
      <c r="AL489">
        <v>1.96</v>
      </c>
      <c r="AM489">
        <v>3.74</v>
      </c>
      <c r="AN489">
        <v>3.73</v>
      </c>
      <c r="AO489">
        <v>1</v>
      </c>
      <c r="AP489">
        <v>0.496776147821195</v>
      </c>
      <c r="AQ489">
        <v>0.25725907655026098</v>
      </c>
      <c r="AR489">
        <v>0.24596477562854299</v>
      </c>
      <c r="AS489">
        <v>1</v>
      </c>
      <c r="AT489">
        <v>8.4555800770262906E-3</v>
      </c>
      <c r="AU489">
        <v>3.3876116471803099</v>
      </c>
      <c r="AV489">
        <f t="shared" si="40"/>
        <v>1.2480860894057827E+17</v>
      </c>
      <c r="AW489">
        <f t="shared" si="41"/>
        <v>6.2001939964422456E+16</v>
      </c>
      <c r="AX489">
        <f t="shared" si="42"/>
        <v>3.2108147481575912E+16</v>
      </c>
      <c r="AY489">
        <f t="shared" si="43"/>
        <v>3.06985214945799E+16</v>
      </c>
      <c r="AZ489" cm="1">
        <f t="array" ref="AZ489">_xlfn.IFS(E489="H",AW489*AI489-AV489,E489="D",AX489*AJ489-AV489,E489="A",AY489*AK489-AV489)</f>
        <v>1055329187199296</v>
      </c>
      <c r="BA489">
        <f t="shared" si="44"/>
        <v>1.3016934872377412E+16</v>
      </c>
    </row>
    <row r="490" spans="1:53" x14ac:dyDescent="0.2">
      <c r="A490">
        <v>37</v>
      </c>
      <c r="B490" t="s">
        <v>67</v>
      </c>
      <c r="C490" s="1">
        <v>44696</v>
      </c>
      <c r="D490" t="s">
        <v>125</v>
      </c>
      <c r="E490" t="s">
        <v>57</v>
      </c>
      <c r="F490" t="s">
        <v>346</v>
      </c>
      <c r="G490" t="s">
        <v>284</v>
      </c>
      <c r="H490">
        <v>36638</v>
      </c>
      <c r="I490" t="s">
        <v>347</v>
      </c>
      <c r="J490" t="s">
        <v>219</v>
      </c>
      <c r="K490" t="s">
        <v>54</v>
      </c>
      <c r="L490">
        <v>2022</v>
      </c>
      <c r="M490">
        <v>1</v>
      </c>
      <c r="N490">
        <v>0.75</v>
      </c>
      <c r="O490">
        <v>2.25</v>
      </c>
      <c r="P490">
        <v>1.5</v>
      </c>
      <c r="Q490">
        <v>2.62</v>
      </c>
      <c r="R490">
        <v>3.5</v>
      </c>
      <c r="S490">
        <v>2.62</v>
      </c>
      <c r="T490">
        <v>2.6</v>
      </c>
      <c r="U490">
        <v>3.4</v>
      </c>
      <c r="V490">
        <v>2.6</v>
      </c>
      <c r="W490">
        <v>2.5</v>
      </c>
      <c r="X490">
        <v>3.5</v>
      </c>
      <c r="Y490">
        <v>2.75</v>
      </c>
      <c r="Z490">
        <v>2.75</v>
      </c>
      <c r="AA490">
        <v>3.56</v>
      </c>
      <c r="AB490">
        <v>2.62</v>
      </c>
      <c r="AC490">
        <v>2.7</v>
      </c>
      <c r="AD490">
        <v>3.4</v>
      </c>
      <c r="AE490">
        <v>2.5499999999999998</v>
      </c>
      <c r="AF490">
        <v>2.63</v>
      </c>
      <c r="AG490">
        <v>3.4</v>
      </c>
      <c r="AH490">
        <v>2.5499999999999998</v>
      </c>
      <c r="AI490">
        <v>2.8</v>
      </c>
      <c r="AJ490">
        <v>3.7</v>
      </c>
      <c r="AK490">
        <v>2.75</v>
      </c>
      <c r="AL490">
        <v>2.67</v>
      </c>
      <c r="AM490">
        <v>3.52</v>
      </c>
      <c r="AN490">
        <v>2.61</v>
      </c>
      <c r="AO490">
        <v>1</v>
      </c>
      <c r="AP490">
        <v>0.36036833717017802</v>
      </c>
      <c r="AQ490">
        <v>0.272711174074729</v>
      </c>
      <c r="AR490">
        <v>0.36692048875509098</v>
      </c>
      <c r="AS490">
        <v>1</v>
      </c>
      <c r="AT490">
        <v>9.0313440765008492E-3</v>
      </c>
      <c r="AU490">
        <v>3.3966429912568099</v>
      </c>
      <c r="AV490">
        <f t="shared" si="40"/>
        <v>1.3782554381295568E+17</v>
      </c>
      <c r="AW490">
        <f t="shared" si="41"/>
        <v>4.9667962043450472E+16</v>
      </c>
      <c r="AX490">
        <f t="shared" si="42"/>
        <v>3.7586565870719272E+16</v>
      </c>
      <c r="AY490">
        <f t="shared" si="43"/>
        <v>5.0571015898785928E+16</v>
      </c>
      <c r="AZ490" cm="1">
        <f t="array" ref="AZ490">_xlfn.IFS(E490="H",AW490*AI490-AV490,E490="D",AX490*AJ490-AV490,E490="A",AY490*AK490-AV490)</f>
        <v>1244749908705632</v>
      </c>
      <c r="BA490">
        <f t="shared" si="44"/>
        <v>1.4261684781083044E+16</v>
      </c>
    </row>
    <row r="491" spans="1:53" x14ac:dyDescent="0.2">
      <c r="A491">
        <v>18</v>
      </c>
      <c r="B491" t="s">
        <v>229</v>
      </c>
      <c r="C491" s="1">
        <v>44700</v>
      </c>
      <c r="D491" t="s">
        <v>151</v>
      </c>
      <c r="E491" t="s">
        <v>57</v>
      </c>
      <c r="F491" t="s">
        <v>213</v>
      </c>
      <c r="G491" t="s">
        <v>249</v>
      </c>
      <c r="H491">
        <v>40468</v>
      </c>
      <c r="I491" t="s">
        <v>214</v>
      </c>
      <c r="J491" t="s">
        <v>407</v>
      </c>
      <c r="K491" t="s">
        <v>54</v>
      </c>
      <c r="L491">
        <v>2022</v>
      </c>
      <c r="M491">
        <v>1</v>
      </c>
      <c r="N491">
        <v>1</v>
      </c>
      <c r="O491">
        <v>1</v>
      </c>
      <c r="P491">
        <v>0.75</v>
      </c>
      <c r="Q491">
        <v>2.0499999999999998</v>
      </c>
      <c r="R491">
        <v>3.5</v>
      </c>
      <c r="S491">
        <v>3.6</v>
      </c>
      <c r="T491">
        <v>1.98</v>
      </c>
      <c r="U491">
        <v>3.5</v>
      </c>
      <c r="V491">
        <v>3.7</v>
      </c>
      <c r="W491">
        <v>2.1</v>
      </c>
      <c r="X491">
        <v>3.45</v>
      </c>
      <c r="Y491">
        <v>3.5</v>
      </c>
      <c r="Z491">
        <v>2.0699999999999998</v>
      </c>
      <c r="AA491">
        <v>3.59</v>
      </c>
      <c r="AB491">
        <v>3.75</v>
      </c>
      <c r="AC491">
        <v>2</v>
      </c>
      <c r="AD491">
        <v>3.4</v>
      </c>
      <c r="AE491">
        <v>3.7</v>
      </c>
      <c r="AF491">
        <v>1.95</v>
      </c>
      <c r="AG491">
        <v>3.4</v>
      </c>
      <c r="AH491">
        <v>3.7</v>
      </c>
      <c r="AI491">
        <v>2.12</v>
      </c>
      <c r="AJ491">
        <v>3.7</v>
      </c>
      <c r="AK491">
        <v>3.9</v>
      </c>
      <c r="AL491">
        <v>2.0499999999999998</v>
      </c>
      <c r="AM491">
        <v>3.56</v>
      </c>
      <c r="AN491">
        <v>3.7</v>
      </c>
      <c r="AO491">
        <v>1</v>
      </c>
      <c r="AP491">
        <v>0.47246414773099299</v>
      </c>
      <c r="AQ491">
        <v>0.27070918734856902</v>
      </c>
      <c r="AR491">
        <v>0.25682666492043699</v>
      </c>
      <c r="AS491">
        <v>0.999999999999999</v>
      </c>
      <c r="AT491">
        <v>1.6239931897057401E-3</v>
      </c>
      <c r="AU491">
        <v>3.3982669844465101</v>
      </c>
      <c r="AV491">
        <f t="shared" si="40"/>
        <v>1.5208722859403872E+17</v>
      </c>
      <c r="AW491">
        <f t="shared" si="41"/>
        <v>7.1855762838451264E+16</v>
      </c>
      <c r="AX491">
        <f t="shared" si="42"/>
        <v>4.1171410058788296E+16</v>
      </c>
      <c r="AY491">
        <f t="shared" si="43"/>
        <v>3.9060055696799152E+16</v>
      </c>
      <c r="AZ491" cm="1">
        <f t="array" ref="AZ491">_xlfn.IFS(E491="H",AW491*AI491-AV491,E491="D",AX491*AJ491-AV491,E491="A",AY491*AK491-AV491)</f>
        <v>246988623477984</v>
      </c>
      <c r="BA491">
        <f t="shared" si="44"/>
        <v>1.4508673404561028E+16</v>
      </c>
    </row>
    <row r="492" spans="1:53" x14ac:dyDescent="0.2">
      <c r="A492">
        <v>27</v>
      </c>
      <c r="B492" t="s">
        <v>229</v>
      </c>
      <c r="C492" s="1">
        <v>44700</v>
      </c>
      <c r="D492" t="s">
        <v>151</v>
      </c>
      <c r="E492" t="s">
        <v>57</v>
      </c>
      <c r="F492" t="s">
        <v>91</v>
      </c>
      <c r="G492" t="s">
        <v>153</v>
      </c>
      <c r="H492">
        <v>31478</v>
      </c>
      <c r="I492" t="s">
        <v>93</v>
      </c>
      <c r="J492" t="s">
        <v>94</v>
      </c>
      <c r="K492" t="s">
        <v>54</v>
      </c>
      <c r="L492">
        <v>2022</v>
      </c>
      <c r="M492">
        <v>1</v>
      </c>
      <c r="N492">
        <v>1.5</v>
      </c>
      <c r="O492">
        <v>1</v>
      </c>
      <c r="P492">
        <v>2</v>
      </c>
      <c r="Q492">
        <v>1.4</v>
      </c>
      <c r="R492">
        <v>4.75</v>
      </c>
      <c r="S492">
        <v>8</v>
      </c>
      <c r="T492">
        <v>1.38</v>
      </c>
      <c r="U492">
        <v>4.75</v>
      </c>
      <c r="V492">
        <v>8.5</v>
      </c>
      <c r="W492">
        <v>1.4</v>
      </c>
      <c r="X492">
        <v>4.5999999999999996</v>
      </c>
      <c r="Y492">
        <v>8.75</v>
      </c>
      <c r="Z492">
        <v>1.39</v>
      </c>
      <c r="AA492">
        <v>4.97</v>
      </c>
      <c r="AB492">
        <v>9.07</v>
      </c>
      <c r="AC492">
        <v>1.35</v>
      </c>
      <c r="AD492">
        <v>4.75</v>
      </c>
      <c r="AE492">
        <v>9</v>
      </c>
      <c r="AF492">
        <v>1.33</v>
      </c>
      <c r="AG492">
        <v>5</v>
      </c>
      <c r="AH492">
        <v>8.5</v>
      </c>
      <c r="AI492">
        <v>1.42</v>
      </c>
      <c r="AJ492">
        <v>5.4</v>
      </c>
      <c r="AK492">
        <v>9.25</v>
      </c>
      <c r="AL492">
        <v>1.38</v>
      </c>
      <c r="AM492">
        <v>4.91</v>
      </c>
      <c r="AN492">
        <v>8.66</v>
      </c>
      <c r="AO492">
        <v>1</v>
      </c>
      <c r="AP492">
        <v>0.70597713171172904</v>
      </c>
      <c r="AQ492">
        <v>0.18564583833900999</v>
      </c>
      <c r="AR492">
        <v>0.10837702994926</v>
      </c>
      <c r="AS492">
        <v>1</v>
      </c>
      <c r="AT492">
        <v>2.4875270306559099E-3</v>
      </c>
      <c r="AU492">
        <v>3.40075451147717</v>
      </c>
      <c r="AV492">
        <f t="shared" si="40"/>
        <v>1.6659590199859974E+17</v>
      </c>
      <c r="AW492">
        <f t="shared" si="41"/>
        <v>1.1761289704789982E+17</v>
      </c>
      <c r="AX492">
        <f t="shared" si="42"/>
        <v>3.092783589037366E+16</v>
      </c>
      <c r="AY492">
        <f t="shared" si="43"/>
        <v>1.8055169060326244E+16</v>
      </c>
      <c r="AZ492" cm="1">
        <f t="array" ref="AZ492">_xlfn.IFS(E492="H",AW492*AI492-AV492,E492="D",AX492*AJ492-AV492,E492="A",AY492*AK492-AV492)</f>
        <v>414411809418016</v>
      </c>
      <c r="BA492">
        <f t="shared" si="44"/>
        <v>1.4923085213979044E+16</v>
      </c>
    </row>
    <row r="493" spans="1:53" x14ac:dyDescent="0.2">
      <c r="A493">
        <v>38</v>
      </c>
      <c r="B493" t="s">
        <v>55</v>
      </c>
      <c r="C493" s="1">
        <v>44702</v>
      </c>
      <c r="D493" t="s">
        <v>68</v>
      </c>
      <c r="E493" t="s">
        <v>57</v>
      </c>
      <c r="F493" t="s">
        <v>326</v>
      </c>
      <c r="G493" t="s">
        <v>69</v>
      </c>
      <c r="H493">
        <v>40116</v>
      </c>
      <c r="I493" t="s">
        <v>327</v>
      </c>
      <c r="J493" t="s">
        <v>445</v>
      </c>
      <c r="K493" t="s">
        <v>54</v>
      </c>
      <c r="L493">
        <v>2022</v>
      </c>
      <c r="M493">
        <v>1</v>
      </c>
      <c r="N493">
        <v>0.75</v>
      </c>
      <c r="O493">
        <v>1</v>
      </c>
      <c r="P493">
        <v>1.5</v>
      </c>
      <c r="Q493">
        <v>4.33</v>
      </c>
      <c r="R493">
        <v>3.75</v>
      </c>
      <c r="S493">
        <v>1.8</v>
      </c>
      <c r="T493">
        <v>4.0999999999999996</v>
      </c>
      <c r="U493">
        <v>3.9</v>
      </c>
      <c r="V493">
        <v>1.8</v>
      </c>
      <c r="W493">
        <v>4.2</v>
      </c>
      <c r="X493">
        <v>4.0999999999999996</v>
      </c>
      <c r="Y493">
        <v>1.77</v>
      </c>
      <c r="Z493">
        <v>4.1900000000000004</v>
      </c>
      <c r="AA493">
        <v>4.0999999999999996</v>
      </c>
      <c r="AB493">
        <v>1.83</v>
      </c>
      <c r="AC493">
        <v>4.2</v>
      </c>
      <c r="AD493">
        <v>3.8</v>
      </c>
      <c r="AE493">
        <v>1.78</v>
      </c>
      <c r="AF493">
        <v>4.33</v>
      </c>
      <c r="AG493">
        <v>3.9</v>
      </c>
      <c r="AH493">
        <v>1.75</v>
      </c>
      <c r="AI493">
        <v>4.4000000000000004</v>
      </c>
      <c r="AJ493">
        <v>4.3600000000000003</v>
      </c>
      <c r="AK493">
        <v>1.85</v>
      </c>
      <c r="AL493">
        <v>4.1399999999999997</v>
      </c>
      <c r="AM493">
        <v>3.99</v>
      </c>
      <c r="AN493">
        <v>1.8</v>
      </c>
      <c r="AO493">
        <v>1</v>
      </c>
      <c r="AP493">
        <v>0.227917490816614</v>
      </c>
      <c r="AQ493">
        <v>0.23000847697089499</v>
      </c>
      <c r="AR493">
        <v>0.54207403221248895</v>
      </c>
      <c r="AS493">
        <v>1</v>
      </c>
      <c r="AT493">
        <v>2.8369595931054801E-3</v>
      </c>
      <c r="AU493">
        <v>3.4035914710702699</v>
      </c>
      <c r="AV493">
        <f t="shared" si="40"/>
        <v>1.8151898721257878E+17</v>
      </c>
      <c r="AW493">
        <f t="shared" si="41"/>
        <v>4.1371352101064152E+16</v>
      </c>
      <c r="AX493">
        <f t="shared" si="42"/>
        <v>4.1750905790064744E+16</v>
      </c>
      <c r="AY493">
        <f t="shared" si="43"/>
        <v>9.8396729321449888E+16</v>
      </c>
      <c r="AZ493" cm="1">
        <f t="array" ref="AZ493">_xlfn.IFS(E493="H",AW493*AI493-AV493,E493="D",AX493*AJ493-AV493,E493="A",AY493*AK493-AV493)</f>
        <v>514962032103520</v>
      </c>
      <c r="BA493">
        <f t="shared" si="44"/>
        <v>1.5438047246082564E+16</v>
      </c>
    </row>
    <row r="494" spans="1:53" x14ac:dyDescent="0.2">
      <c r="A494">
        <v>38</v>
      </c>
      <c r="B494" t="s">
        <v>55</v>
      </c>
      <c r="C494" s="1">
        <v>44702</v>
      </c>
      <c r="D494" t="s">
        <v>68</v>
      </c>
      <c r="E494" t="s">
        <v>49</v>
      </c>
      <c r="F494" t="s">
        <v>59</v>
      </c>
      <c r="G494" t="s">
        <v>83</v>
      </c>
      <c r="H494">
        <v>63873</v>
      </c>
      <c r="I494" t="s">
        <v>334</v>
      </c>
      <c r="J494" t="s">
        <v>81</v>
      </c>
      <c r="K494" t="s">
        <v>54</v>
      </c>
      <c r="L494">
        <v>2022</v>
      </c>
      <c r="M494">
        <v>2.25</v>
      </c>
      <c r="N494">
        <v>1.75</v>
      </c>
      <c r="O494">
        <v>1.25</v>
      </c>
      <c r="P494">
        <v>0.5</v>
      </c>
      <c r="Q494">
        <v>2.0499999999999998</v>
      </c>
      <c r="R494">
        <v>3.6</v>
      </c>
      <c r="S494">
        <v>3.6</v>
      </c>
      <c r="T494">
        <v>2.0499999999999998</v>
      </c>
      <c r="U494">
        <v>3.6</v>
      </c>
      <c r="V494">
        <v>3.4</v>
      </c>
      <c r="W494">
        <v>2.1</v>
      </c>
      <c r="X494">
        <v>3.55</v>
      </c>
      <c r="Y494">
        <v>3.45</v>
      </c>
      <c r="Z494">
        <v>2.0299999999999998</v>
      </c>
      <c r="AA494">
        <v>3.6</v>
      </c>
      <c r="AB494">
        <v>3.88</v>
      </c>
      <c r="AC494">
        <v>2.1</v>
      </c>
      <c r="AD494">
        <v>3.4</v>
      </c>
      <c r="AE494">
        <v>3.4</v>
      </c>
      <c r="AF494">
        <v>2.0499999999999998</v>
      </c>
      <c r="AG494">
        <v>3.5</v>
      </c>
      <c r="AH494">
        <v>3.4</v>
      </c>
      <c r="AI494">
        <v>2.13</v>
      </c>
      <c r="AJ494">
        <v>3.8</v>
      </c>
      <c r="AK494">
        <v>3.89</v>
      </c>
      <c r="AL494">
        <v>2.0499999999999998</v>
      </c>
      <c r="AM494">
        <v>3.58</v>
      </c>
      <c r="AN494">
        <v>3.59</v>
      </c>
      <c r="AO494">
        <v>1</v>
      </c>
      <c r="AP494">
        <v>0.47436436394676801</v>
      </c>
      <c r="AQ494">
        <v>0.26589370926489803</v>
      </c>
      <c r="AR494">
        <v>0.25974192678833302</v>
      </c>
      <c r="AS494">
        <v>1</v>
      </c>
      <c r="AT494">
        <v>1.03960952066157E-2</v>
      </c>
      <c r="AU494">
        <v>3.4139875662768899</v>
      </c>
      <c r="AV494">
        <f t="shared" si="40"/>
        <v>1.9695703445866134E+17</v>
      </c>
      <c r="AW494">
        <f t="shared" si="41"/>
        <v>9.342939837582456E+16</v>
      </c>
      <c r="AX494">
        <f t="shared" si="42"/>
        <v>5.2369636458027976E+16</v>
      </c>
      <c r="AY494">
        <f t="shared" si="43"/>
        <v>5.1157999624808816E+16</v>
      </c>
      <c r="AZ494" cm="1">
        <f t="array" ref="AZ494">_xlfn.IFS(E494="H",AW494*AI494-AV494,E494="D",AX494*AJ494-AV494,E494="A",AY494*AK494-AV494)</f>
        <v>2047584081844960</v>
      </c>
      <c r="BA494">
        <f t="shared" si="44"/>
        <v>1.7485631327927524E+16</v>
      </c>
    </row>
    <row r="495" spans="1:53" x14ac:dyDescent="0.2">
      <c r="A495">
        <v>38</v>
      </c>
      <c r="B495" t="s">
        <v>67</v>
      </c>
      <c r="C495" s="1">
        <v>44703</v>
      </c>
      <c r="D495" t="s">
        <v>121</v>
      </c>
      <c r="E495" t="s">
        <v>74</v>
      </c>
      <c r="F495" t="s">
        <v>371</v>
      </c>
      <c r="G495" t="s">
        <v>303</v>
      </c>
      <c r="H495">
        <v>10000</v>
      </c>
      <c r="I495" t="s">
        <v>457</v>
      </c>
      <c r="J495" t="s">
        <v>451</v>
      </c>
      <c r="K495" t="s">
        <v>54</v>
      </c>
      <c r="L495">
        <v>2022</v>
      </c>
      <c r="M495">
        <v>0.75</v>
      </c>
      <c r="N495">
        <v>1.5</v>
      </c>
      <c r="O495">
        <v>2.25</v>
      </c>
      <c r="P495">
        <v>2</v>
      </c>
      <c r="Q495">
        <v>5.75</v>
      </c>
      <c r="R495">
        <v>4.5</v>
      </c>
      <c r="S495">
        <v>1.53</v>
      </c>
      <c r="T495">
        <v>5.5</v>
      </c>
      <c r="U495">
        <v>4.5</v>
      </c>
      <c r="V495">
        <v>1.55</v>
      </c>
      <c r="W495">
        <v>5.5</v>
      </c>
      <c r="X495">
        <v>4.7</v>
      </c>
      <c r="Y495">
        <v>1.53</v>
      </c>
      <c r="Z495">
        <v>5.97</v>
      </c>
      <c r="AA495">
        <v>4.6399999999999997</v>
      </c>
      <c r="AB495">
        <v>1.54</v>
      </c>
      <c r="AC495">
        <v>6</v>
      </c>
      <c r="AD495">
        <v>4.33</v>
      </c>
      <c r="AE495">
        <v>1.5</v>
      </c>
      <c r="AF495">
        <v>6</v>
      </c>
      <c r="AG495">
        <v>4.4000000000000004</v>
      </c>
      <c r="AH495">
        <v>1.5</v>
      </c>
      <c r="AI495">
        <v>6.25</v>
      </c>
      <c r="AJ495">
        <v>5</v>
      </c>
      <c r="AK495">
        <v>1.58</v>
      </c>
      <c r="AL495">
        <v>5.75</v>
      </c>
      <c r="AM495">
        <v>4.6399999999999997</v>
      </c>
      <c r="AN495">
        <v>1.53</v>
      </c>
      <c r="AO495">
        <v>1</v>
      </c>
      <c r="AP495">
        <v>0.16114227434982101</v>
      </c>
      <c r="AQ495">
        <v>0.201427842937276</v>
      </c>
      <c r="AR495">
        <v>0.63742988271290102</v>
      </c>
      <c r="AS495">
        <v>0.999999999999999</v>
      </c>
      <c r="AT495">
        <v>7.1392146863844498E-3</v>
      </c>
      <c r="AU495">
        <v>3.4211267809632702</v>
      </c>
      <c r="AV495">
        <f t="shared" si="40"/>
        <v>2.1444266578658886E+17</v>
      </c>
      <c r="AW495">
        <f t="shared" si="41"/>
        <v>3.4555778882489588E+16</v>
      </c>
      <c r="AX495">
        <f t="shared" si="42"/>
        <v>4.3194723603111984E+16</v>
      </c>
      <c r="AY495">
        <f t="shared" si="43"/>
        <v>1.3669216330098728E+17</v>
      </c>
      <c r="AZ495" cm="1">
        <f t="array" ref="AZ495">_xlfn.IFS(E495="H",AW495*AI495-AV495,E495="D",AX495*AJ495-AV495,E495="A",AY495*AK495-AV495)</f>
        <v>1530952228971040</v>
      </c>
      <c r="BA495">
        <f t="shared" si="44"/>
        <v>1.9016583556898564E+16</v>
      </c>
    </row>
    <row r="496" spans="1:53" x14ac:dyDescent="0.2">
      <c r="A496">
        <v>38</v>
      </c>
      <c r="B496" t="s">
        <v>67</v>
      </c>
      <c r="C496" s="1">
        <v>44703</v>
      </c>
      <c r="D496" t="s">
        <v>107</v>
      </c>
      <c r="E496" t="s">
        <v>74</v>
      </c>
      <c r="F496" t="s">
        <v>109</v>
      </c>
      <c r="G496" t="s">
        <v>243</v>
      </c>
      <c r="H496">
        <v>21584</v>
      </c>
      <c r="I496" t="s">
        <v>123</v>
      </c>
      <c r="J496" t="s">
        <v>196</v>
      </c>
      <c r="K496" t="s">
        <v>54</v>
      </c>
      <c r="L496">
        <v>2022</v>
      </c>
      <c r="M496">
        <v>1.75</v>
      </c>
      <c r="N496">
        <v>2</v>
      </c>
      <c r="O496">
        <v>2.5</v>
      </c>
      <c r="P496">
        <v>1.5</v>
      </c>
      <c r="Q496">
        <v>6.5</v>
      </c>
      <c r="R496">
        <v>4.75</v>
      </c>
      <c r="S496">
        <v>1.45</v>
      </c>
      <c r="T496">
        <v>6</v>
      </c>
      <c r="U496">
        <v>4.8</v>
      </c>
      <c r="V496">
        <v>1.47</v>
      </c>
      <c r="W496">
        <v>7.75</v>
      </c>
      <c r="X496">
        <v>4.2</v>
      </c>
      <c r="Y496">
        <v>1.47</v>
      </c>
      <c r="Z496">
        <v>6.84</v>
      </c>
      <c r="AA496">
        <v>5</v>
      </c>
      <c r="AB496">
        <v>1.46</v>
      </c>
      <c r="AC496">
        <v>7</v>
      </c>
      <c r="AD496">
        <v>4.5999999999999996</v>
      </c>
      <c r="AE496">
        <v>1.42</v>
      </c>
      <c r="AF496">
        <v>7.5</v>
      </c>
      <c r="AG496">
        <v>4.75</v>
      </c>
      <c r="AH496">
        <v>1.4</v>
      </c>
      <c r="AI496">
        <v>7.76</v>
      </c>
      <c r="AJ496">
        <v>5.2</v>
      </c>
      <c r="AK496">
        <v>1.5</v>
      </c>
      <c r="AL496">
        <v>6.63</v>
      </c>
      <c r="AM496">
        <v>4.87</v>
      </c>
      <c r="AN496">
        <v>1.46</v>
      </c>
      <c r="AO496">
        <v>1</v>
      </c>
      <c r="AP496">
        <v>0.13045223441263001</v>
      </c>
      <c r="AQ496">
        <v>0.194674872892694</v>
      </c>
      <c r="AR496">
        <v>0.67487289269467399</v>
      </c>
      <c r="AS496">
        <v>1</v>
      </c>
      <c r="AT496">
        <v>1.2309339042012301E-2</v>
      </c>
      <c r="AU496">
        <v>3.4334361200052901</v>
      </c>
      <c r="AV496">
        <f t="shared" si="40"/>
        <v>2.3345924934348742E+17</v>
      </c>
      <c r="AW496">
        <f t="shared" si="41"/>
        <v>3.0455280721153364E+16</v>
      </c>
      <c r="AX496">
        <f t="shared" si="42"/>
        <v>4.544864969156732E+16</v>
      </c>
      <c r="AY496">
        <f t="shared" si="43"/>
        <v>1.5755531893076672E+17</v>
      </c>
      <c r="AZ496" cm="1">
        <f t="array" ref="AZ496">_xlfn.IFS(E496="H",AW496*AI496-AV496,E496="D",AX496*AJ496-AV496,E496="A",AY496*AK496-AV496)</f>
        <v>2873729052662656</v>
      </c>
      <c r="BA496">
        <f t="shared" si="44"/>
        <v>2.189031260956122E+16</v>
      </c>
    </row>
    <row r="497" spans="1:53" x14ac:dyDescent="0.2">
      <c r="A497">
        <v>38</v>
      </c>
      <c r="B497" t="s">
        <v>67</v>
      </c>
      <c r="C497" s="1">
        <v>44703</v>
      </c>
      <c r="D497" t="s">
        <v>322</v>
      </c>
      <c r="E497" t="s">
        <v>74</v>
      </c>
      <c r="F497" t="s">
        <v>100</v>
      </c>
      <c r="G497" t="s">
        <v>227</v>
      </c>
      <c r="H497">
        <v>27022</v>
      </c>
      <c r="I497" t="s">
        <v>102</v>
      </c>
      <c r="J497" t="s">
        <v>180</v>
      </c>
      <c r="K497" t="s">
        <v>54</v>
      </c>
      <c r="L497">
        <v>2022</v>
      </c>
      <c r="M497">
        <v>0.75</v>
      </c>
      <c r="N497">
        <v>0.75</v>
      </c>
      <c r="O497">
        <v>2</v>
      </c>
      <c r="P497">
        <v>1.75</v>
      </c>
      <c r="Q497">
        <v>9.5</v>
      </c>
      <c r="R497">
        <v>6.5</v>
      </c>
      <c r="S497">
        <v>1.25</v>
      </c>
      <c r="T497">
        <v>11</v>
      </c>
      <c r="U497">
        <v>6.5</v>
      </c>
      <c r="V497">
        <v>1.24</v>
      </c>
      <c r="W497">
        <v>11</v>
      </c>
      <c r="X497">
        <v>6.25</v>
      </c>
      <c r="Y497">
        <v>1.25</v>
      </c>
      <c r="Z497">
        <v>11.2</v>
      </c>
      <c r="AA497">
        <v>6.23</v>
      </c>
      <c r="AB497">
        <v>1.27</v>
      </c>
      <c r="AC497">
        <v>10</v>
      </c>
      <c r="AD497">
        <v>6</v>
      </c>
      <c r="AE497">
        <v>1.25</v>
      </c>
      <c r="AF497">
        <v>11.5</v>
      </c>
      <c r="AG497">
        <v>6</v>
      </c>
      <c r="AH497">
        <v>1.22</v>
      </c>
      <c r="AI497">
        <v>13</v>
      </c>
      <c r="AJ497">
        <v>7</v>
      </c>
      <c r="AK497">
        <v>1.29</v>
      </c>
      <c r="AL497">
        <v>11.19</v>
      </c>
      <c r="AM497">
        <v>6.45</v>
      </c>
      <c r="AN497">
        <v>1.26</v>
      </c>
      <c r="AO497">
        <v>1</v>
      </c>
      <c r="AP497">
        <v>7.7311643835616395E-2</v>
      </c>
      <c r="AQ497">
        <v>0.14357876712328699</v>
      </c>
      <c r="AR497">
        <v>0.77910958904109495</v>
      </c>
      <c r="AS497">
        <v>1</v>
      </c>
      <c r="AT497">
        <v>5.0513698630136796E-3</v>
      </c>
      <c r="AU497">
        <v>3.4384874898683</v>
      </c>
      <c r="AV497">
        <f t="shared" si="40"/>
        <v>2.5534956195304864E+17</v>
      </c>
      <c r="AW497">
        <f t="shared" si="41"/>
        <v>1.9741494387294768E+16</v>
      </c>
      <c r="AX497">
        <f t="shared" si="42"/>
        <v>3.6662775290690288E+16</v>
      </c>
      <c r="AY497">
        <f t="shared" si="43"/>
        <v>1.9894529227506355E+17</v>
      </c>
      <c r="AZ497" cm="1">
        <f t="array" ref="AZ497">_xlfn.IFS(E497="H",AW497*AI497-AV497,E497="D",AX497*AJ497-AV497,E497="A",AY497*AK497-AV497)</f>
        <v>1289865081783360</v>
      </c>
      <c r="BA497">
        <f t="shared" si="44"/>
        <v>2.318017769134458E+16</v>
      </c>
    </row>
    <row r="498" spans="1:53" x14ac:dyDescent="0.2">
      <c r="A498">
        <v>38</v>
      </c>
      <c r="B498" t="s">
        <v>67</v>
      </c>
      <c r="C498" s="1">
        <v>44703</v>
      </c>
      <c r="D498" t="s">
        <v>322</v>
      </c>
      <c r="E498" t="s">
        <v>49</v>
      </c>
      <c r="F498" t="s">
        <v>101</v>
      </c>
      <c r="G498" t="s">
        <v>213</v>
      </c>
      <c r="H498">
        <v>53395</v>
      </c>
      <c r="I498" t="s">
        <v>290</v>
      </c>
      <c r="J498" t="s">
        <v>215</v>
      </c>
      <c r="K498" t="s">
        <v>54</v>
      </c>
      <c r="L498">
        <v>2022</v>
      </c>
      <c r="M498">
        <v>2.5</v>
      </c>
      <c r="N498">
        <v>3.75</v>
      </c>
      <c r="O498">
        <v>1</v>
      </c>
      <c r="P498">
        <v>1.25</v>
      </c>
      <c r="Q498">
        <v>1.1599999999999999</v>
      </c>
      <c r="R498">
        <v>8</v>
      </c>
      <c r="S498">
        <v>17</v>
      </c>
      <c r="T498">
        <v>1.17</v>
      </c>
      <c r="U498">
        <v>8</v>
      </c>
      <c r="V498">
        <v>15</v>
      </c>
      <c r="W498">
        <v>1.1499999999999999</v>
      </c>
      <c r="X498">
        <v>7.5</v>
      </c>
      <c r="Y498">
        <v>18</v>
      </c>
      <c r="Z498">
        <v>1.1499999999999999</v>
      </c>
      <c r="AA498">
        <v>8.74</v>
      </c>
      <c r="AB498">
        <v>20.27</v>
      </c>
      <c r="AC498">
        <v>1.1499999999999999</v>
      </c>
      <c r="AD498">
        <v>7</v>
      </c>
      <c r="AE498">
        <v>19</v>
      </c>
      <c r="AF498">
        <v>1.1299999999999999</v>
      </c>
      <c r="AG498">
        <v>7.5</v>
      </c>
      <c r="AH498">
        <v>18</v>
      </c>
      <c r="AI498">
        <v>1.2</v>
      </c>
      <c r="AJ498">
        <v>9.1</v>
      </c>
      <c r="AK498">
        <v>24</v>
      </c>
      <c r="AL498">
        <v>1.1599999999999999</v>
      </c>
      <c r="AM498">
        <v>8.18</v>
      </c>
      <c r="AN498">
        <v>18.239999999999998</v>
      </c>
      <c r="AO498">
        <v>1</v>
      </c>
      <c r="AP498">
        <v>0.84611808461180804</v>
      </c>
      <c r="AQ498">
        <v>0.111576011157601</v>
      </c>
      <c r="AR498">
        <v>4.2305904230590399E-2</v>
      </c>
      <c r="AS498">
        <v>1</v>
      </c>
      <c r="AT498">
        <v>1.53417015341701E-2</v>
      </c>
      <c r="AU498">
        <v>3.4538291914024701</v>
      </c>
      <c r="AV498">
        <f t="shared" si="40"/>
        <v>2.7852973964439322E+17</v>
      </c>
      <c r="AW498">
        <f t="shared" si="41"/>
        <v>2.3566904981533968E+17</v>
      </c>
      <c r="AX498">
        <f t="shared" si="42"/>
        <v>3.1077237338286556E+16</v>
      </c>
      <c r="AY498">
        <f t="shared" si="43"/>
        <v>1.1783452490766984E+16</v>
      </c>
      <c r="AZ498" cm="1">
        <f t="array" ref="AZ498">_xlfn.IFS(E498="H",AW498*AI498-AV498,E498="D",AX498*AJ498-AV498,E498="A",AY498*AK498-AV498)</f>
        <v>4273120134014400</v>
      </c>
      <c r="BA498">
        <f t="shared" si="44"/>
        <v>2.745329782535898E+16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unbiased_arbitrage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2022-11-27T07:36:56Z</dcterms:created>
  <dcterms:modified xsi:type="dcterms:W3CDTF">2022-11-27T08:17:21Z</dcterms:modified>
</cp:coreProperties>
</file>