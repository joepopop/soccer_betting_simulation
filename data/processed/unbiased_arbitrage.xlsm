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epopop/Desktop/Data Science Projects/soccer_betting_simulation/data/processed/"/>
    </mc:Choice>
  </mc:AlternateContent>
  <xr:revisionPtr revIDLastSave="0" documentId="13_ncr:1_{8E146875-FCF2-B84E-91EA-1426F4167133}" xr6:coauthVersionLast="47" xr6:coauthVersionMax="47" xr10:uidLastSave="{00000000-0000-0000-0000-000000000000}"/>
  <bookViews>
    <workbookView xWindow="880" yWindow="1500" windowWidth="24640" windowHeight="13900" xr2:uid="{00000000-000D-0000-FFFF-FFFF00000000}"/>
  </bookViews>
  <sheets>
    <sheet name="unbiased_arbitrag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3" i="1" l="1"/>
  <c r="AX3" i="1" s="1"/>
  <c r="AW3" i="1" l="1"/>
  <c r="AY3" i="1"/>
  <c r="AZ3" i="1" l="1" a="1"/>
  <c r="AZ3" i="1" s="1"/>
  <c r="BA3" i="1" s="1"/>
  <c r="AV4" i="1" s="1"/>
  <c r="AW4" i="1" s="1"/>
  <c r="AX4" i="1" l="1"/>
  <c r="AY4" i="1"/>
  <c r="AZ4" i="1" l="1" a="1"/>
  <c r="AZ4" i="1" s="1"/>
  <c r="BA4" i="1" s="1"/>
  <c r="AV5" i="1" s="1"/>
  <c r="AX5" i="1" s="1"/>
  <c r="AY5" i="1" l="1"/>
  <c r="AW5" i="1"/>
  <c r="AZ5" i="1" s="1" a="1"/>
  <c r="AZ5" i="1" s="1"/>
  <c r="BA5" i="1" s="1"/>
  <c r="AV6" i="1" s="1"/>
  <c r="AY6" i="1" l="1"/>
  <c r="AX6" i="1"/>
  <c r="AW6" i="1"/>
  <c r="AZ6" i="1" l="1" a="1"/>
  <c r="AZ6" i="1" s="1"/>
  <c r="BA6" i="1" s="1"/>
  <c r="AV7" i="1" s="1"/>
  <c r="AW7" i="1" s="1"/>
  <c r="AX7" i="1" l="1"/>
  <c r="AY7" i="1"/>
  <c r="AZ7" i="1" a="1"/>
  <c r="AZ7" i="1" s="1"/>
  <c r="BA7" i="1" s="1"/>
  <c r="AV8" i="1" s="1"/>
  <c r="AY8" i="1" s="1"/>
  <c r="AX8" i="1" l="1"/>
  <c r="AW8" i="1"/>
  <c r="AZ8" i="1" s="1" a="1"/>
  <c r="AZ8" i="1" s="1"/>
  <c r="BA8" i="1" s="1"/>
  <c r="AV9" i="1" s="1"/>
  <c r="AX9" i="1" l="1"/>
  <c r="AY9" i="1"/>
  <c r="AW9" i="1"/>
  <c r="AZ9" i="1" l="1" a="1"/>
  <c r="AZ9" i="1" s="1"/>
  <c r="BA9" i="1" s="1"/>
  <c r="AV10" i="1" s="1"/>
  <c r="AW10" i="1" s="1"/>
  <c r="AY10" i="1" l="1"/>
  <c r="AX10" i="1"/>
  <c r="AZ10" i="1" l="1" a="1"/>
  <c r="AZ10" i="1" s="1"/>
  <c r="BA10" i="1" s="1"/>
  <c r="AV11" i="1" s="1"/>
  <c r="AW11" i="1" s="1"/>
  <c r="AY11" i="1" l="1"/>
  <c r="AX11" i="1"/>
  <c r="AZ11" i="1" l="1" a="1"/>
  <c r="AZ11" i="1" s="1"/>
  <c r="BA11" i="1" s="1"/>
  <c r="AV12" i="1" s="1"/>
  <c r="AX12" i="1" s="1"/>
  <c r="AW12" i="1" l="1"/>
  <c r="AY12" i="1"/>
  <c r="AZ12" i="1" l="1" a="1"/>
  <c r="AZ12" i="1" s="1"/>
  <c r="BA12" i="1" s="1"/>
  <c r="AV13" i="1" s="1"/>
  <c r="AW13" i="1" s="1"/>
  <c r="AY13" i="1" l="1"/>
  <c r="AX13" i="1"/>
  <c r="AZ13" i="1" l="1" a="1"/>
  <c r="AZ13" i="1" s="1"/>
  <c r="BA13" i="1" s="1"/>
  <c r="AV14" i="1" s="1"/>
  <c r="AW14" i="1" s="1"/>
  <c r="AY14" i="1" l="1"/>
  <c r="AX14" i="1"/>
  <c r="AZ14" i="1" l="1" a="1"/>
  <c r="AZ14" i="1" s="1"/>
  <c r="BA14" i="1" s="1"/>
  <c r="AV15" i="1" s="1"/>
  <c r="AX15" i="1" s="1"/>
  <c r="AW15" i="1" l="1"/>
  <c r="AZ15" i="1" s="1" a="1"/>
  <c r="AZ15" i="1" s="1"/>
  <c r="BA15" i="1" s="1"/>
  <c r="AV16" i="1" s="1"/>
  <c r="AW16" i="1" s="1"/>
  <c r="AY15" i="1"/>
  <c r="AY16" i="1" l="1"/>
  <c r="AX16" i="1"/>
  <c r="AZ16" i="1" l="1" a="1"/>
  <c r="AZ16" i="1" s="1"/>
  <c r="BA16" i="1" s="1"/>
  <c r="AV17" i="1" s="1"/>
  <c r="AX17" i="1" s="1"/>
  <c r="AY17" i="1" l="1"/>
  <c r="AW17" i="1"/>
  <c r="AZ17" i="1" l="1" a="1"/>
  <c r="AZ17" i="1" s="1"/>
  <c r="BA17" i="1" s="1"/>
  <c r="AV18" i="1" s="1"/>
  <c r="AW18" i="1"/>
  <c r="AY18" i="1"/>
  <c r="AX18" i="1"/>
  <c r="AZ18" i="1" s="1" a="1"/>
  <c r="AZ18" i="1" s="1"/>
  <c r="BA18" i="1" s="1"/>
  <c r="AV19" i="1" s="1"/>
  <c r="AW19" i="1" s="1"/>
  <c r="AY19" i="1" l="1"/>
  <c r="AX19" i="1"/>
  <c r="AZ19" i="1" l="1" a="1"/>
  <c r="AZ19" i="1" s="1"/>
  <c r="BA19" i="1" s="1"/>
  <c r="AV20" i="1" s="1"/>
  <c r="AY20" i="1" s="1"/>
  <c r="AX20" i="1" l="1"/>
  <c r="AW20" i="1"/>
  <c r="AZ20" i="1" l="1" a="1"/>
  <c r="AZ20" i="1" s="1"/>
  <c r="BA20" i="1" s="1"/>
  <c r="AV21" i="1" s="1"/>
  <c r="AX21" i="1" s="1"/>
  <c r="AY21" i="1"/>
  <c r="AW21" i="1"/>
  <c r="AZ21" i="1" l="1" a="1"/>
  <c r="AZ21" i="1" s="1"/>
  <c r="BA21" i="1" s="1"/>
  <c r="AV22" i="1" s="1"/>
  <c r="AW22" i="1" s="1"/>
  <c r="AY22" i="1" l="1"/>
  <c r="AX22" i="1"/>
  <c r="AZ22" i="1" l="1" a="1"/>
  <c r="AZ22" i="1" s="1"/>
  <c r="BA22" i="1" s="1"/>
  <c r="AV23" i="1" s="1"/>
  <c r="AW23" i="1" s="1"/>
  <c r="AY23" i="1" l="1"/>
  <c r="AX23" i="1"/>
  <c r="AZ23" i="1" s="1" a="1"/>
  <c r="AZ23" i="1" s="1"/>
  <c r="BA23" i="1" s="1"/>
  <c r="AV24" i="1" s="1"/>
  <c r="AX24" i="1" s="1"/>
  <c r="AY24" i="1" l="1"/>
  <c r="AW24" i="1"/>
  <c r="AZ24" i="1" s="1" a="1"/>
  <c r="AZ24" i="1" s="1"/>
  <c r="BA24" i="1" s="1"/>
  <c r="AV25" i="1" s="1"/>
  <c r="AW25" i="1" s="1"/>
  <c r="AX25" i="1" l="1"/>
  <c r="AY25" i="1"/>
  <c r="AZ25" i="1" l="1" a="1"/>
  <c r="AZ25" i="1" s="1"/>
  <c r="BA25" i="1" s="1"/>
  <c r="AV26" i="1" s="1"/>
  <c r="AW26" i="1" s="1"/>
  <c r="AX26" i="1" l="1"/>
  <c r="AY26" i="1"/>
  <c r="AZ26" i="1" l="1" a="1"/>
  <c r="AZ26" i="1" s="1"/>
  <c r="BA26" i="1" s="1"/>
  <c r="AV27" i="1" s="1"/>
  <c r="AY27" i="1" s="1"/>
  <c r="AX27" i="1" l="1"/>
  <c r="AW27" i="1"/>
  <c r="AZ27" i="1" s="1" a="1"/>
  <c r="AZ27" i="1" s="1"/>
  <c r="BA27" i="1" s="1"/>
  <c r="AV28" i="1" s="1"/>
  <c r="AW28" i="1" s="1"/>
  <c r="AX28" i="1" l="1"/>
  <c r="AY28" i="1"/>
  <c r="AZ28" i="1" l="1" a="1"/>
  <c r="AZ28" i="1" s="1"/>
  <c r="BA28" i="1" s="1"/>
  <c r="AV29" i="1" s="1"/>
  <c r="AW29" i="1" s="1"/>
  <c r="AX29" i="1" l="1"/>
  <c r="AY29" i="1"/>
  <c r="AZ29" i="1" s="1" a="1"/>
  <c r="AZ29" i="1" s="1"/>
  <c r="BA29" i="1" s="1"/>
  <c r="AV30" i="1" s="1"/>
  <c r="AX30" i="1" s="1"/>
  <c r="AY30" i="1" l="1"/>
  <c r="AW30" i="1"/>
  <c r="AZ30" i="1" l="1" a="1"/>
  <c r="AZ30" i="1" s="1"/>
  <c r="BA30" i="1" s="1"/>
  <c r="AV31" i="1" s="1"/>
  <c r="AX31" i="1" s="1"/>
  <c r="AY31" i="1" l="1"/>
  <c r="AW31" i="1"/>
  <c r="AZ31" i="1" l="1" a="1"/>
  <c r="AZ31" i="1" s="1"/>
  <c r="BA31" i="1" s="1"/>
  <c r="AV32" i="1" s="1"/>
  <c r="AX32" i="1" s="1"/>
  <c r="AY32" i="1"/>
  <c r="AW32" i="1"/>
  <c r="AZ32" i="1" l="1" a="1"/>
  <c r="AZ32" i="1" s="1"/>
  <c r="BA32" i="1" s="1"/>
  <c r="AV33" i="1" s="1"/>
  <c r="AX33" i="1" s="1"/>
  <c r="AY33" i="1" l="1"/>
  <c r="AW33" i="1"/>
  <c r="AZ33" i="1" l="1" a="1"/>
  <c r="AZ33" i="1" s="1"/>
  <c r="BA33" i="1" s="1"/>
  <c r="AV34" i="1" s="1"/>
  <c r="AX34" i="1" s="1"/>
  <c r="AW34" i="1" l="1"/>
  <c r="AZ34" i="1" s="1" a="1"/>
  <c r="AZ34" i="1" s="1"/>
  <c r="BA34" i="1" s="1"/>
  <c r="AV35" i="1" s="1"/>
  <c r="AY35" i="1" s="1"/>
  <c r="AY34" i="1"/>
  <c r="AW35" i="1" l="1"/>
  <c r="AX35" i="1"/>
  <c r="AZ35" i="1" l="1" a="1"/>
  <c r="AZ35" i="1" s="1"/>
  <c r="BA35" i="1" s="1"/>
  <c r="AV36" i="1" s="1"/>
  <c r="AX36" i="1" l="1"/>
  <c r="AY36" i="1"/>
  <c r="AW36" i="1"/>
  <c r="AZ36" i="1" l="1" a="1"/>
  <c r="AZ36" i="1" s="1"/>
  <c r="BA36" i="1" s="1"/>
  <c r="AV37" i="1" s="1"/>
  <c r="AW37" i="1" s="1"/>
  <c r="AX37" i="1" l="1"/>
  <c r="AY37" i="1"/>
  <c r="AZ37" i="1" l="1" a="1"/>
  <c r="AZ37" i="1" s="1"/>
  <c r="BA37" i="1" s="1"/>
  <c r="AV38" i="1" s="1"/>
  <c r="AW38" i="1" s="1"/>
  <c r="AY38" i="1" l="1"/>
  <c r="AX38" i="1"/>
  <c r="AZ38" i="1" l="1" a="1"/>
  <c r="AZ38" i="1" s="1"/>
  <c r="BA38" i="1" s="1"/>
  <c r="AV39" i="1" s="1"/>
  <c r="AW39" i="1" s="1"/>
  <c r="AY39" i="1" l="1"/>
  <c r="AX39" i="1"/>
  <c r="AZ39" i="1" s="1" a="1"/>
  <c r="AZ39" i="1" s="1"/>
  <c r="BA39" i="1" s="1"/>
  <c r="AV40" i="1" s="1"/>
  <c r="AW40" i="1" s="1"/>
  <c r="AY40" i="1" l="1"/>
  <c r="AZ40" i="1" s="1" a="1"/>
  <c r="AZ40" i="1" s="1"/>
  <c r="BA40" i="1" s="1"/>
  <c r="AV41" i="1" s="1"/>
  <c r="AX41" i="1" s="1"/>
  <c r="AX40" i="1"/>
  <c r="AY41" i="1" l="1"/>
  <c r="AW41" i="1"/>
  <c r="AZ41" i="1" s="1" a="1"/>
  <c r="AZ41" i="1" s="1"/>
  <c r="BA41" i="1" s="1"/>
  <c r="AV42" i="1" s="1"/>
  <c r="AW42" i="1" s="1"/>
  <c r="AY42" i="1" l="1"/>
  <c r="AX42" i="1"/>
  <c r="AZ42" i="1" l="1" a="1"/>
  <c r="AZ42" i="1" s="1"/>
  <c r="BA42" i="1" s="1"/>
  <c r="AV43" i="1" s="1"/>
  <c r="AY43" i="1" s="1"/>
  <c r="AX43" i="1" l="1"/>
  <c r="AW43" i="1"/>
  <c r="AZ43" i="1" l="1" a="1"/>
  <c r="AZ43" i="1" s="1"/>
  <c r="BA43" i="1" s="1"/>
  <c r="AV44" i="1" s="1"/>
  <c r="AY44" i="1" s="1"/>
  <c r="AX44" i="1" l="1"/>
  <c r="AW44" i="1"/>
  <c r="AZ44" i="1" s="1" a="1"/>
  <c r="AZ44" i="1" s="1"/>
  <c r="BA44" i="1" s="1"/>
  <c r="AV45" i="1" s="1"/>
  <c r="AY45" i="1" s="1"/>
  <c r="AX45" i="1" l="1"/>
  <c r="AW45" i="1"/>
  <c r="AZ45" i="1" l="1" a="1"/>
  <c r="AZ45" i="1" s="1"/>
  <c r="BA45" i="1" s="1"/>
  <c r="AV46" i="1" s="1"/>
  <c r="AY46" i="1" s="1"/>
  <c r="AW46" i="1" l="1"/>
  <c r="AX46" i="1"/>
  <c r="AZ46" i="1" l="1" a="1"/>
  <c r="AZ46" i="1" s="1"/>
  <c r="BA46" i="1" s="1"/>
  <c r="AV47" i="1" s="1"/>
  <c r="AX47" i="1" s="1"/>
  <c r="AY47" i="1" l="1"/>
  <c r="AW47" i="1"/>
  <c r="AZ47" i="1" a="1"/>
  <c r="AZ47" i="1" s="1"/>
  <c r="BA47" i="1" s="1"/>
  <c r="AV48" i="1" s="1"/>
  <c r="AW48" i="1" s="1"/>
  <c r="AX48" i="1" l="1"/>
  <c r="AY48" i="1"/>
  <c r="AZ48" i="1" l="1" a="1"/>
  <c r="AZ48" i="1" s="1"/>
  <c r="BA48" i="1" s="1"/>
  <c r="AV49" i="1" s="1"/>
  <c r="AW49" i="1" s="1"/>
  <c r="AX49" i="1" l="1"/>
  <c r="AY49" i="1"/>
  <c r="AZ49" i="1" l="1" a="1"/>
  <c r="AZ49" i="1" s="1"/>
  <c r="BA49" i="1" s="1"/>
  <c r="AV50" i="1" s="1"/>
  <c r="AX50" i="1" s="1"/>
  <c r="AW50" i="1" l="1"/>
  <c r="AY50" i="1"/>
  <c r="AZ50" i="1" l="1" a="1"/>
  <c r="AZ50" i="1" s="1"/>
  <c r="BA50" i="1" s="1"/>
  <c r="AV51" i="1" s="1"/>
  <c r="AW51" i="1" s="1"/>
  <c r="AY51" i="1" l="1"/>
  <c r="AX51" i="1"/>
  <c r="AZ51" i="1" s="1" a="1"/>
  <c r="AZ51" i="1" s="1"/>
  <c r="BA5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<sst xmlns="http://schemas.openxmlformats.org/spreadsheetml/2006/main" count="453" uniqueCount="228">
  <si>
    <t>wk</t>
  </si>
  <si>
    <t>day</t>
  </si>
  <si>
    <t>date</t>
  </si>
  <si>
    <t>time</t>
  </si>
  <si>
    <t>result</t>
  </si>
  <si>
    <t>home</t>
  </si>
  <si>
    <t>away</t>
  </si>
  <si>
    <t>attendance</t>
  </si>
  <si>
    <t>venue</t>
  </si>
  <si>
    <t>referee</t>
  </si>
  <si>
    <t>match_report</t>
  </si>
  <si>
    <t>season</t>
  </si>
  <si>
    <t>mean_points_home</t>
  </si>
  <si>
    <t>mean_score_home</t>
  </si>
  <si>
    <t>mean_points_away</t>
  </si>
  <si>
    <t>mean_score_away</t>
  </si>
  <si>
    <t>b365h</t>
  </si>
  <si>
    <t>b365d</t>
  </si>
  <si>
    <t>b365a</t>
  </si>
  <si>
    <t>bwh</t>
  </si>
  <si>
    <t>bwd</t>
  </si>
  <si>
    <t>bwa</t>
  </si>
  <si>
    <t>iwh</t>
  </si>
  <si>
    <t>iwd</t>
  </si>
  <si>
    <t>iwa</t>
  </si>
  <si>
    <t>psh</t>
  </si>
  <si>
    <t>psd</t>
  </si>
  <si>
    <t>psa</t>
  </si>
  <si>
    <t>whh</t>
  </si>
  <si>
    <t>whd</t>
  </si>
  <si>
    <t>wha</t>
  </si>
  <si>
    <t>vch</t>
  </si>
  <si>
    <t>vcd</t>
  </si>
  <si>
    <t>vca</t>
  </si>
  <si>
    <t>max_h</t>
  </si>
  <si>
    <t>max_d</t>
  </si>
  <si>
    <t>max_a</t>
  </si>
  <si>
    <t>avg_h</t>
  </si>
  <si>
    <t>avg_d</t>
  </si>
  <si>
    <t>avg_a</t>
  </si>
  <si>
    <t>bet</t>
  </si>
  <si>
    <t>wager_h</t>
  </si>
  <si>
    <t>wager_d</t>
  </si>
  <si>
    <t>wager_a</t>
  </si>
  <si>
    <t>wager_total</t>
  </si>
  <si>
    <t>profit</t>
  </si>
  <si>
    <t>cum_profit</t>
  </si>
  <si>
    <t>Fri</t>
  </si>
  <si>
    <t>20:45 (13:45)</t>
  </si>
  <si>
    <t>H</t>
  </si>
  <si>
    <t>Lyon</t>
  </si>
  <si>
    <t>Angers</t>
  </si>
  <si>
    <t>Groupama Stadium</t>
  </si>
  <si>
    <t>Beno√Æt Millot</t>
  </si>
  <si>
    <t>Match Report</t>
  </si>
  <si>
    <t>Sat</t>
  </si>
  <si>
    <t>17:30 (10:30)</t>
  </si>
  <si>
    <t>D</t>
  </si>
  <si>
    <t>Nantes</t>
  </si>
  <si>
    <t>Marseille</t>
  </si>
  <si>
    <t>Stade de la Beaujoire - Louis Fonteneau</t>
  </si>
  <si>
    <t>Beno√Æt Bastien</t>
  </si>
  <si>
    <t>20:00 (13:00)</t>
  </si>
  <si>
    <t>Bordeaux</t>
  </si>
  <si>
    <t>Montpellier</t>
  </si>
  <si>
    <t>Stade Matmut-Atlantique</t>
  </si>
  <si>
    <t>Franck Schneider</t>
  </si>
  <si>
    <t>Sun</t>
  </si>
  <si>
    <t>21:00 (14:00)</t>
  </si>
  <si>
    <t>Rennes</t>
  </si>
  <si>
    <t>Paris S-G</t>
  </si>
  <si>
    <t>Roazhon Park</t>
  </si>
  <si>
    <t>Antony Gautier</t>
  </si>
  <si>
    <t>15:30 (08:30)</t>
  </si>
  <si>
    <t>A</t>
  </si>
  <si>
    <t>Mainz 05</t>
  </si>
  <si>
    <t>M'Gladbach</t>
  </si>
  <si>
    <t>Opel Arena</t>
  </si>
  <si>
    <t>Martin Petersen</t>
  </si>
  <si>
    <t>Metz</t>
  </si>
  <si>
    <t>Stade Raymond Kopa</t>
  </si>
  <si>
    <t>St√©phanie Frappart</t>
  </si>
  <si>
    <t>17:00 (10:00)</t>
  </si>
  <si>
    <t>Strasbourg</t>
  </si>
  <si>
    <t>Stade de la Meinau</t>
  </si>
  <si>
    <t>Ruddy Buquet</t>
  </si>
  <si>
    <t>Osasuna</t>
  </si>
  <si>
    <t>Barcelona</t>
  </si>
  <si>
    <t>Estadio El Sadar</t>
  </si>
  <si>
    <t>Juan Mart√≠nez</t>
  </si>
  <si>
    <t>15:00 (09:00)</t>
  </si>
  <si>
    <t>Chelsea</t>
  </si>
  <si>
    <t>Sheffield Utd</t>
  </si>
  <si>
    <t>Stamford Bridge</t>
  </si>
  <si>
    <t>Stuart Attwell</t>
  </si>
  <si>
    <t>N√Æmes</t>
  </si>
  <si>
    <t>Brest</t>
  </si>
  <si>
    <t>Stade des Costi√®res</t>
  </si>
  <si>
    <t>Thomas L√©onard</t>
  </si>
  <si>
    <t>17:30 (11:30)</t>
  </si>
  <si>
    <t>Norwich City</t>
  </si>
  <si>
    <t>Manchester City</t>
  </si>
  <si>
    <t>Carrow Road</t>
  </si>
  <si>
    <t>Kevin Friend</t>
  </si>
  <si>
    <t>Nice</t>
  </si>
  <si>
    <t>Stade de la Mosson</t>
  </si>
  <si>
    <t>Olivier Thual</t>
  </si>
  <si>
    <t>18:00 (11:00)</t>
  </si>
  <si>
    <t>Roma</t>
  </si>
  <si>
    <t>Sassuolo</t>
  </si>
  <si>
    <t>Stadio Olimpico</t>
  </si>
  <si>
    <t>Daniele Chiffi</t>
  </si>
  <si>
    <t>12:00 (05:00)</t>
  </si>
  <si>
    <t>Eibar</t>
  </si>
  <si>
    <t>Espanyol</t>
  </si>
  <si>
    <t>Estadio Municipal de Ipur√∫a</t>
  </si>
  <si>
    <t>Valent√≠n Pizarro</t>
  </si>
  <si>
    <t>Hertha BSC</t>
  </si>
  <si>
    <t>Paderborn 07</t>
  </si>
  <si>
    <t>Olympiastadion Berlin</t>
  </si>
  <si>
    <t>Frank Willenborg</t>
  </si>
  <si>
    <t>Manchester Utd</t>
  </si>
  <si>
    <t>Anthony Taylor</t>
  </si>
  <si>
    <t>Brescia</t>
  </si>
  <si>
    <t>Monaco</t>
  </si>
  <si>
    <t>Stade Louis II.</t>
  </si>
  <si>
    <t>Harm Osmers</t>
  </si>
  <si>
    <t>Patrick Ittrich</t>
  </si>
  <si>
    <t>Augsburg</t>
  </si>
  <si>
    <t>Southampton</t>
  </si>
  <si>
    <t>Leicester City</t>
  </si>
  <si>
    <t>St. Mary's Stadium</t>
  </si>
  <si>
    <t>Andre Marriner</t>
  </si>
  <si>
    <t>Celta Vigo</t>
  </si>
  <si>
    <t>Estadio de Bala√≠dos</t>
  </si>
  <si>
    <t>Getafe</t>
  </si>
  <si>
    <t>Werder Bremen</t>
  </si>
  <si>
    <t>Freiburg</t>
  </si>
  <si>
    <t>Weserstadion</t>
  </si>
  <si>
    <t>Toulouse</t>
  </si>
  <si>
    <t>Stadium Municipal</t>
  </si>
  <si>
    <t>Arsenal</t>
  </si>
  <si>
    <t>Chris Kavanagh</t>
  </si>
  <si>
    <t>15:00 (08:00)</t>
  </si>
  <si>
    <t>Stadio Ennio Tardini</t>
  </si>
  <si>
    <t>18:30 (11:30)</t>
  </si>
  <si>
    <t>Bayern Munich</t>
  </si>
  <si>
    <t>Leverkusen</t>
  </si>
  <si>
    <t>Allianz Arena</t>
  </si>
  <si>
    <t>Guido Winkmann</t>
  </si>
  <si>
    <t>Atalanta</t>
  </si>
  <si>
    <t>Daniele Doveri</t>
  </si>
  <si>
    <t>20:30 (13:30)</t>
  </si>
  <si>
    <t>Eint Frankfurt</t>
  </si>
  <si>
    <t>RB Leipzig</t>
  </si>
  <si>
    <t>Red Bull Arena</t>
  </si>
  <si>
    <t>Paolo Valeri</t>
  </si>
  <si>
    <t>Liverpool</t>
  </si>
  <si>
    <t>Saint-√âtienne</t>
  </si>
  <si>
    <t>Dortmund</t>
  </si>
  <si>
    <t>Signal Iduna Park</t>
  </si>
  <si>
    <t>Tobias Stieler</t>
  </si>
  <si>
    <t>16:30 (10:30)</t>
  </si>
  <si>
    <t>Tottenham</t>
  </si>
  <si>
    <t>Tottenham Hotspur Stadium</t>
  </si>
  <si>
    <t>Watford</t>
  </si>
  <si>
    <t>Martin Atkinson</t>
  </si>
  <si>
    <t>D√ºsseldorf</t>
  </si>
  <si>
    <t>Merkur Spielarena</t>
  </si>
  <si>
    <t>Milan</t>
  </si>
  <si>
    <t>Stadio Giuseppe Meazza</t>
  </si>
  <si>
    <t>Stade de Nice</t>
  </si>
  <si>
    <t>Schwarzwald-Stadion</t>
  </si>
  <si>
    <t>Burnley</t>
  </si>
  <si>
    <t>Everton</t>
  </si>
  <si>
    <t>Goodison Park</t>
  </si>
  <si>
    <t>Bastian Dankert</t>
  </si>
  <si>
    <t>Marco Fritz</t>
  </si>
  <si>
    <t>22:00 (15:00)</t>
  </si>
  <si>
    <t>Wolfsburg</t>
  </si>
  <si>
    <t>Mallorca</t>
  </si>
  <si>
    <t>Iberostar Estadi</t>
  </si>
  <si>
    <t>Real Madrid</t>
  </si>
  <si>
    <t>Javier Estrada</t>
  </si>
  <si>
    <t>Crystal Palace</t>
  </si>
  <si>
    <t>Brighton</t>
  </si>
  <si>
    <t>The American Express Community Stadium</t>
  </si>
  <si>
    <t>Granada</t>
  </si>
  <si>
    <t>Atl√©tico Madrid</t>
  </si>
  <si>
    <t>Estadio Wanda Metropolitano</t>
  </si>
  <si>
    <t>Craig Pawson</t>
  </si>
  <si>
    <t>Lee Mason</t>
  </si>
  <si>
    <t>Old Trafford</t>
  </si>
  <si>
    <t>Athletic Club</t>
  </si>
  <si>
    <t>Vicarage Road Stadium</t>
  </si>
  <si>
    <t>Udinese</t>
  </si>
  <si>
    <t>Dacia Arena</t>
  </si>
  <si>
    <t>Inter</t>
  </si>
  <si>
    <t>Fran√ßois Letexier</t>
  </si>
  <si>
    <t>Dijon</t>
  </si>
  <si>
    <t>Parc des Princes</t>
  </si>
  <si>
    <t>Daniel Siebert</t>
  </si>
  <si>
    <t>Sascha Stegemann</t>
  </si>
  <si>
    <t>C√©sar Soto</t>
  </si>
  <si>
    <t>Schalke 04</t>
  </si>
  <si>
    <t>Willy Delajod</t>
  </si>
  <si>
    <t>Turf Moor</t>
  </si>
  <si>
    <t>Veltins-Arena</t>
  </si>
  <si>
    <t>WWK Arena</t>
  </si>
  <si>
    <t>Torino</t>
  </si>
  <si>
    <t>J√©r√¥me Brisard</t>
  </si>
  <si>
    <t>Guillermo Cuadra</t>
  </si>
  <si>
    <t>Stade Gaston G√©rard</t>
  </si>
  <si>
    <t>Florent Batta</t>
  </si>
  <si>
    <t>19:00 (12:00)</t>
  </si>
  <si>
    <t>Stade Geoffroy-Guichard</t>
  </si>
  <si>
    <t>Jeremy Stinat</t>
  </si>
  <si>
    <t>Pablo Gonz√°lez</t>
  </si>
  <si>
    <t>RCDE Stadium</t>
  </si>
  <si>
    <t>compounded_wager_total</t>
  </si>
  <si>
    <t>compounded_wager_h</t>
  </si>
  <si>
    <t>compounded_wager_d</t>
  </si>
  <si>
    <t>compounded_wager_a</t>
  </si>
  <si>
    <t>compounded_profit</t>
  </si>
  <si>
    <t>compounded_cum_profit</t>
  </si>
  <si>
    <t>Markus Schmidt</t>
  </si>
  <si>
    <t>Amiens</t>
  </si>
  <si>
    <t>Stade de la Licorne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</si>
</sst>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A498"/>
  <sheetViews>
    <sheetView tabSelected="1" topLeftCell="AK34" workbookViewId="0">
      <selection activeCell="AU51" sqref="A1:AU51"/>
    </sheetView>
  </sheetViews>
  <sheetFormatPr baseColWidth="10" defaultRowHeight="16" x14ac:dyDescent="0.2"/>
  <sheetData>
    <row r="1" spans="1:5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219</v>
      </c>
      <c r="AW1" t="s">
        <v>220</v>
      </c>
      <c r="AX1" t="s">
        <v>221</v>
      </c>
      <c r="AY1" t="s">
        <v>222</v>
      </c>
      <c r="AZ1" t="s">
        <v>223</v>
      </c>
      <c r="BA1" t="s">
        <v>224</v>
      </c>
    </row>
    <row r="2" spans="1:53" x14ac:dyDescent="0.2">
      <c r="A2">
        <v>1</v>
      </c>
      <c r="B2" t="s">
        <v>55</v>
      </c>
      <c r="C2" s="1">
        <v>43687</v>
      </c>
      <c r="D2" t="s">
        <v>62</v>
      </c>
      <c r="E2" t="s">
        <v>74</v>
      </c>
      <c r="F2" t="s">
        <v>199</v>
      </c>
      <c r="G2" t="s">
        <v>158</v>
      </c>
      <c r="H2">
        <v>14334</v>
      </c>
      <c r="I2" t="s">
        <v>212</v>
      </c>
      <c r="J2" t="s">
        <v>98</v>
      </c>
      <c r="K2" t="s">
        <v>54</v>
      </c>
      <c r="L2">
        <v>2019</v>
      </c>
      <c r="M2">
        <v>2.5</v>
      </c>
      <c r="N2">
        <v>1.75</v>
      </c>
      <c r="O2">
        <v>2</v>
      </c>
      <c r="P2">
        <v>2</v>
      </c>
      <c r="Q2">
        <v>4</v>
      </c>
      <c r="R2">
        <v>3.2</v>
      </c>
      <c r="S2">
        <v>2.0499999999999998</v>
      </c>
      <c r="T2">
        <v>3.6</v>
      </c>
      <c r="U2">
        <v>3.25</v>
      </c>
      <c r="V2">
        <v>2.0499999999999998</v>
      </c>
      <c r="W2">
        <v>3.55</v>
      </c>
      <c r="X2">
        <v>3.35</v>
      </c>
      <c r="Y2">
        <v>2.1</v>
      </c>
      <c r="Z2">
        <v>3.69</v>
      </c>
      <c r="AA2">
        <v>3.46</v>
      </c>
      <c r="AB2">
        <v>2.13</v>
      </c>
      <c r="AC2">
        <v>3.6</v>
      </c>
      <c r="AD2">
        <v>3.3</v>
      </c>
      <c r="AE2">
        <v>2.1</v>
      </c>
      <c r="AF2">
        <v>3.7</v>
      </c>
      <c r="AG2">
        <v>3.4</v>
      </c>
      <c r="AH2">
        <v>2.1</v>
      </c>
      <c r="AI2">
        <v>4</v>
      </c>
      <c r="AJ2">
        <v>3.46</v>
      </c>
      <c r="AK2">
        <v>2.2000000000000002</v>
      </c>
      <c r="AL2">
        <v>3.57</v>
      </c>
      <c r="AM2">
        <v>3.34</v>
      </c>
      <c r="AN2">
        <v>2.11</v>
      </c>
      <c r="AO2">
        <v>1</v>
      </c>
      <c r="AP2">
        <v>100.647891048525</v>
      </c>
      <c r="AQ2">
        <v>116.3559434087</v>
      </c>
      <c r="AR2">
        <v>182.99616554277401</v>
      </c>
      <c r="AS2">
        <v>400</v>
      </c>
      <c r="AT2">
        <v>2.59156419410288</v>
      </c>
      <c r="AU2">
        <v>2.59156419410288</v>
      </c>
    </row>
    <row r="3" spans="1:53" x14ac:dyDescent="0.2">
      <c r="A3">
        <v>1</v>
      </c>
      <c r="B3" t="s">
        <v>47</v>
      </c>
      <c r="C3" s="1">
        <v>43693</v>
      </c>
      <c r="D3" t="s">
        <v>152</v>
      </c>
      <c r="E3" t="s">
        <v>57</v>
      </c>
      <c r="F3" t="s">
        <v>146</v>
      </c>
      <c r="G3" t="s">
        <v>117</v>
      </c>
      <c r="H3">
        <v>75000</v>
      </c>
      <c r="I3" t="s">
        <v>148</v>
      </c>
      <c r="J3" t="s">
        <v>126</v>
      </c>
      <c r="K3" t="s">
        <v>54</v>
      </c>
      <c r="L3">
        <v>2019</v>
      </c>
      <c r="M3">
        <v>3</v>
      </c>
      <c r="N3">
        <v>3.5</v>
      </c>
      <c r="O3">
        <v>1</v>
      </c>
      <c r="P3">
        <v>1</v>
      </c>
      <c r="Q3">
        <v>1.1399999999999999</v>
      </c>
      <c r="R3">
        <v>8</v>
      </c>
      <c r="S3">
        <v>15</v>
      </c>
      <c r="T3">
        <v>1.18</v>
      </c>
      <c r="U3">
        <v>7</v>
      </c>
      <c r="V3">
        <v>16</v>
      </c>
      <c r="W3">
        <v>1.25</v>
      </c>
      <c r="X3">
        <v>6.1</v>
      </c>
      <c r="Y3">
        <v>11</v>
      </c>
      <c r="Z3">
        <v>1.19</v>
      </c>
      <c r="AA3">
        <v>7.73</v>
      </c>
      <c r="AB3">
        <v>15.3</v>
      </c>
      <c r="AC3">
        <v>1.18</v>
      </c>
      <c r="AD3">
        <v>7.5</v>
      </c>
      <c r="AE3">
        <v>15</v>
      </c>
      <c r="AF3">
        <v>1.18</v>
      </c>
      <c r="AG3">
        <v>8</v>
      </c>
      <c r="AH3">
        <v>15</v>
      </c>
      <c r="AI3">
        <v>1.25</v>
      </c>
      <c r="AJ3">
        <v>8.3000000000000007</v>
      </c>
      <c r="AK3">
        <v>17.5</v>
      </c>
      <c r="AL3">
        <v>1.18</v>
      </c>
      <c r="AM3">
        <v>7.55</v>
      </c>
      <c r="AN3">
        <v>15.04</v>
      </c>
      <c r="AO3">
        <v>1</v>
      </c>
      <c r="AP3">
        <v>327.32394366197099</v>
      </c>
      <c r="AQ3">
        <v>49.295774647887299</v>
      </c>
      <c r="AR3">
        <v>23.380281690140801</v>
      </c>
      <c r="AS3">
        <v>400</v>
      </c>
      <c r="AT3">
        <v>9.1549295774647099</v>
      </c>
      <c r="AU3">
        <v>11.7464937715676</v>
      </c>
      <c r="AV3" s="2">
        <f>(AS3+AU2)</f>
        <v>402.59156419410289</v>
      </c>
      <c r="AW3">
        <f>AV3/(1+AI3/AJ3+AI3/AK3)</f>
        <v>329.44464619263908</v>
      </c>
      <c r="AX3">
        <f>AV3/(1+AJ3/AI3+AJ3/AK3)</f>
        <v>49.615157559132392</v>
      </c>
      <c r="AY3">
        <f>AV3/(1+AK3/AI3+AK3/AJ3)</f>
        <v>23.531760442331368</v>
      </c>
      <c r="AZ3" cm="1">
        <f t="array" ref="AZ3">_xlfn.IFS(E3="H",AW3*AI3-AV3,E3="D",AX3*AJ3-AV3,E3="A",AY3*AK3-AV3)</f>
        <v>9.2142435466960251</v>
      </c>
      <c r="BA3" s="2">
        <f>AT2+AZ3</f>
        <v>11.805807740798905</v>
      </c>
    </row>
    <row r="4" spans="1:53" x14ac:dyDescent="0.2">
      <c r="A4">
        <v>2</v>
      </c>
      <c r="B4" t="s">
        <v>47</v>
      </c>
      <c r="C4" s="1">
        <v>43693</v>
      </c>
      <c r="D4" t="s">
        <v>48</v>
      </c>
      <c r="E4" t="s">
        <v>49</v>
      </c>
      <c r="F4" t="s">
        <v>50</v>
      </c>
      <c r="G4" t="s">
        <v>51</v>
      </c>
      <c r="H4">
        <v>49871</v>
      </c>
      <c r="I4" t="s">
        <v>52</v>
      </c>
      <c r="J4" t="s">
        <v>53</v>
      </c>
      <c r="K4" t="s">
        <v>54</v>
      </c>
      <c r="L4">
        <v>2019</v>
      </c>
      <c r="M4">
        <v>1.75</v>
      </c>
      <c r="N4">
        <v>2.25</v>
      </c>
      <c r="O4">
        <v>1.5</v>
      </c>
      <c r="P4">
        <v>0.75</v>
      </c>
      <c r="Q4">
        <v>1.5</v>
      </c>
      <c r="R4">
        <v>4.33</v>
      </c>
      <c r="S4">
        <v>6</v>
      </c>
      <c r="T4">
        <v>1.48</v>
      </c>
      <c r="U4">
        <v>4.5</v>
      </c>
      <c r="V4">
        <v>6.5</v>
      </c>
      <c r="W4">
        <v>1.45</v>
      </c>
      <c r="X4">
        <v>4.4000000000000004</v>
      </c>
      <c r="Y4">
        <v>7.2</v>
      </c>
      <c r="Z4">
        <v>1.51</v>
      </c>
      <c r="AA4">
        <v>4.51</v>
      </c>
      <c r="AB4">
        <v>6.74</v>
      </c>
      <c r="AC4">
        <v>1.47</v>
      </c>
      <c r="AD4">
        <v>4.33</v>
      </c>
      <c r="AE4">
        <v>6.5</v>
      </c>
      <c r="AF4">
        <v>1.5</v>
      </c>
      <c r="AG4">
        <v>4.5</v>
      </c>
      <c r="AH4">
        <v>6.5</v>
      </c>
      <c r="AI4">
        <v>1.55</v>
      </c>
      <c r="AJ4">
        <v>4.6500000000000004</v>
      </c>
      <c r="AK4">
        <v>7.2</v>
      </c>
      <c r="AL4">
        <v>1.5</v>
      </c>
      <c r="AM4">
        <v>4.45</v>
      </c>
      <c r="AN4">
        <v>6.4</v>
      </c>
      <c r="AO4">
        <v>1</v>
      </c>
      <c r="AP4">
        <v>258.29596412555998</v>
      </c>
      <c r="AQ4">
        <v>86.098654708520101</v>
      </c>
      <c r="AR4">
        <v>55.605381165919198</v>
      </c>
      <c r="AS4">
        <v>400</v>
      </c>
      <c r="AT4">
        <v>0.358744394618838</v>
      </c>
      <c r="AU4">
        <v>12.1052381661864</v>
      </c>
      <c r="AV4" s="2">
        <f>AV3+BA3</f>
        <v>414.3973719349018</v>
      </c>
      <c r="AW4">
        <f>AV4/(1+AI4/AJ4+AI4/AK4)</f>
        <v>267.59292178755987</v>
      </c>
      <c r="AX4">
        <f>AV4/(1+AJ4/AI4+AJ4/AK4)</f>
        <v>89.197640595853301</v>
      </c>
      <c r="AY4">
        <f>AV4/(1+AK4/AI4+AK4/AJ4)</f>
        <v>57.606809551488595</v>
      </c>
      <c r="AZ4" cm="1">
        <f t="array" ref="AZ4">_xlfn.IFS(E4="H",AW4*AI4-AV4,E4="D",AX4*AJ4-AV4,E4="A",AY4*AK4-AV4)</f>
        <v>0.37165683581599751</v>
      </c>
      <c r="BA4" s="2">
        <f>AZ4+BA3</f>
        <v>12.177464576614902</v>
      </c>
    </row>
    <row r="5" spans="1:53" x14ac:dyDescent="0.2">
      <c r="A5">
        <v>1</v>
      </c>
      <c r="B5" t="s">
        <v>55</v>
      </c>
      <c r="C5" s="1">
        <v>43694</v>
      </c>
      <c r="D5" t="s">
        <v>73</v>
      </c>
      <c r="E5" t="s">
        <v>49</v>
      </c>
      <c r="F5" t="s">
        <v>159</v>
      </c>
      <c r="G5" t="s">
        <v>128</v>
      </c>
      <c r="H5">
        <v>81365</v>
      </c>
      <c r="I5" t="s">
        <v>160</v>
      </c>
      <c r="J5" t="s">
        <v>120</v>
      </c>
      <c r="K5" t="s">
        <v>54</v>
      </c>
      <c r="L5">
        <v>2019</v>
      </c>
      <c r="M5">
        <v>2.25</v>
      </c>
      <c r="N5">
        <v>2.25</v>
      </c>
      <c r="O5">
        <v>1</v>
      </c>
      <c r="P5">
        <v>1</v>
      </c>
      <c r="Q5">
        <v>1.2</v>
      </c>
      <c r="R5">
        <v>7</v>
      </c>
      <c r="S5">
        <v>13</v>
      </c>
      <c r="T5">
        <v>1.22</v>
      </c>
      <c r="U5">
        <v>6.5</v>
      </c>
      <c r="V5">
        <v>12.5</v>
      </c>
      <c r="W5">
        <v>1.25</v>
      </c>
      <c r="X5">
        <v>6.1</v>
      </c>
      <c r="Y5">
        <v>11</v>
      </c>
      <c r="Z5">
        <v>1.23</v>
      </c>
      <c r="AA5">
        <v>6.76</v>
      </c>
      <c r="AB5">
        <v>13.52</v>
      </c>
      <c r="AC5">
        <v>1.2</v>
      </c>
      <c r="AD5">
        <v>6.5</v>
      </c>
      <c r="AE5">
        <v>15</v>
      </c>
      <c r="AF5">
        <v>1.22</v>
      </c>
      <c r="AG5">
        <v>6.5</v>
      </c>
      <c r="AH5">
        <v>15</v>
      </c>
      <c r="AI5">
        <v>1.25</v>
      </c>
      <c r="AJ5">
        <v>7.15</v>
      </c>
      <c r="AK5">
        <v>17</v>
      </c>
      <c r="AL5">
        <v>1.22</v>
      </c>
      <c r="AM5">
        <v>6.62</v>
      </c>
      <c r="AN5">
        <v>13.38</v>
      </c>
      <c r="AO5">
        <v>1</v>
      </c>
      <c r="AP5">
        <v>320.42178103632898</v>
      </c>
      <c r="AQ5">
        <v>56.017793887470098</v>
      </c>
      <c r="AR5">
        <v>23.560425076200598</v>
      </c>
      <c r="AS5">
        <v>400</v>
      </c>
      <c r="AT5">
        <v>0.52722629541153698</v>
      </c>
      <c r="AU5">
        <v>12.6324644615979</v>
      </c>
      <c r="AV5" s="2">
        <f>AV4+BA4</f>
        <v>426.57483651151671</v>
      </c>
      <c r="AW5">
        <f t="shared" ref="AW5:AW9" si="0">AV5/(1+AI5/AJ5+AI5/AK5)</f>
        <v>341.70967215075285</v>
      </c>
      <c r="AX5">
        <f t="shared" ref="AX5:AX9" si="1">AV5/(1+AJ5/AI5+AJ5/AK5)</f>
        <v>59.739453173208524</v>
      </c>
      <c r="AY5">
        <f t="shared" ref="AY5:AY9" si="2">AV5/(1+AK5/AI5+AK5/AJ5)</f>
        <v>25.125711187555353</v>
      </c>
      <c r="AZ5" cm="1">
        <f t="array" ref="AZ5">_xlfn.IFS(E5="H",AW5*AI5-AV5,E5="D",AX5*AJ5-AV5,E5="A",AY5*AK5-AV5)</f>
        <v>0.56225367692434247</v>
      </c>
      <c r="BA5" s="2">
        <f>AZ5+BA4</f>
        <v>12.739718253539245</v>
      </c>
    </row>
    <row r="6" spans="1:53" x14ac:dyDescent="0.2">
      <c r="A6">
        <v>1</v>
      </c>
      <c r="B6" t="s">
        <v>55</v>
      </c>
      <c r="C6" s="1">
        <v>43694</v>
      </c>
      <c r="D6" t="s">
        <v>82</v>
      </c>
      <c r="E6" t="s">
        <v>74</v>
      </c>
      <c r="F6" t="s">
        <v>133</v>
      </c>
      <c r="G6" t="s">
        <v>182</v>
      </c>
      <c r="H6">
        <v>23566</v>
      </c>
      <c r="I6" t="s">
        <v>134</v>
      </c>
      <c r="J6" t="s">
        <v>183</v>
      </c>
      <c r="K6" t="s">
        <v>54</v>
      </c>
      <c r="L6">
        <v>2019</v>
      </c>
      <c r="M6">
        <v>2.5</v>
      </c>
      <c r="N6">
        <v>2.25</v>
      </c>
      <c r="O6">
        <v>0.5</v>
      </c>
      <c r="P6">
        <v>0.5</v>
      </c>
      <c r="Q6">
        <v>4.75</v>
      </c>
      <c r="R6">
        <v>4.2</v>
      </c>
      <c r="S6">
        <v>1.65</v>
      </c>
      <c r="T6">
        <v>4.4000000000000004</v>
      </c>
      <c r="U6">
        <v>4.2</v>
      </c>
      <c r="V6">
        <v>1.72</v>
      </c>
      <c r="W6">
        <v>5.3</v>
      </c>
      <c r="X6">
        <v>4.2</v>
      </c>
      <c r="Y6">
        <v>1.6</v>
      </c>
      <c r="Z6">
        <v>4.7300000000000004</v>
      </c>
      <c r="AA6">
        <v>4.18</v>
      </c>
      <c r="AB6">
        <v>1.72</v>
      </c>
      <c r="AC6">
        <v>5.25</v>
      </c>
      <c r="AD6">
        <v>4.2</v>
      </c>
      <c r="AE6">
        <v>1.6</v>
      </c>
      <c r="AF6">
        <v>4.75</v>
      </c>
      <c r="AG6">
        <v>4.2</v>
      </c>
      <c r="AH6">
        <v>1.73</v>
      </c>
      <c r="AI6">
        <v>5.3</v>
      </c>
      <c r="AJ6">
        <v>4.4000000000000004</v>
      </c>
      <c r="AK6">
        <v>1.73</v>
      </c>
      <c r="AL6">
        <v>4.67</v>
      </c>
      <c r="AM6">
        <v>4.12</v>
      </c>
      <c r="AN6">
        <v>1.69</v>
      </c>
      <c r="AO6">
        <v>1</v>
      </c>
      <c r="AP6">
        <v>75.928281090247097</v>
      </c>
      <c r="AQ6">
        <v>91.459065858706694</v>
      </c>
      <c r="AR6">
        <v>232.61265305104601</v>
      </c>
      <c r="AS6">
        <v>400</v>
      </c>
      <c r="AT6">
        <v>2.4198897783097602</v>
      </c>
      <c r="AU6">
        <v>15.0523542399077</v>
      </c>
      <c r="AV6" s="2">
        <f>AV5+BA5</f>
        <v>439.31455476505596</v>
      </c>
      <c r="AW6">
        <f t="shared" si="0"/>
        <v>83.390997503094837</v>
      </c>
      <c r="AX6">
        <f t="shared" si="1"/>
        <v>100.44824699236422</v>
      </c>
      <c r="AY6">
        <f t="shared" si="2"/>
        <v>255.47531026959689</v>
      </c>
      <c r="AZ6" cm="1">
        <f t="array" ref="AZ6">_xlfn.IFS(E6="H",AW6*AI6-AV6,E6="D",AX6*AJ6-AV6,E6="A",AY6*AK6-AV6)</f>
        <v>2.6577320013466306</v>
      </c>
      <c r="BA6">
        <f t="shared" ref="BA6:BA9" si="3">AZ6+BA5</f>
        <v>15.397450254885875</v>
      </c>
    </row>
    <row r="7" spans="1:53" x14ac:dyDescent="0.2">
      <c r="A7">
        <v>2</v>
      </c>
      <c r="B7" t="s">
        <v>55</v>
      </c>
      <c r="C7" s="1">
        <v>43694</v>
      </c>
      <c r="D7" t="s">
        <v>90</v>
      </c>
      <c r="E7" t="s">
        <v>74</v>
      </c>
      <c r="F7" t="s">
        <v>129</v>
      </c>
      <c r="G7" t="s">
        <v>157</v>
      </c>
      <c r="H7">
        <v>31712</v>
      </c>
      <c r="I7" t="s">
        <v>131</v>
      </c>
      <c r="J7" t="s">
        <v>132</v>
      </c>
      <c r="K7" t="s">
        <v>54</v>
      </c>
      <c r="L7">
        <v>2019</v>
      </c>
      <c r="M7">
        <v>1.25</v>
      </c>
      <c r="N7">
        <v>2</v>
      </c>
      <c r="O7">
        <v>3</v>
      </c>
      <c r="P7">
        <v>2.5</v>
      </c>
      <c r="Q7">
        <v>6.5</v>
      </c>
      <c r="R7">
        <v>4.75</v>
      </c>
      <c r="S7">
        <v>1.44</v>
      </c>
      <c r="T7">
        <v>6.25</v>
      </c>
      <c r="U7">
        <v>4.75</v>
      </c>
      <c r="V7">
        <v>1.48</v>
      </c>
      <c r="W7">
        <v>7.5</v>
      </c>
      <c r="X7">
        <v>4.8</v>
      </c>
      <c r="Y7">
        <v>1.4</v>
      </c>
      <c r="Z7">
        <v>7.04</v>
      </c>
      <c r="AA7">
        <v>4.72</v>
      </c>
      <c r="AB7">
        <v>1.48</v>
      </c>
      <c r="AC7">
        <v>7</v>
      </c>
      <c r="AD7">
        <v>4.5999999999999996</v>
      </c>
      <c r="AE7">
        <v>1.44</v>
      </c>
      <c r="AF7">
        <v>7.5</v>
      </c>
      <c r="AG7">
        <v>4.8</v>
      </c>
      <c r="AH7">
        <v>1.45</v>
      </c>
      <c r="AI7">
        <v>7.5</v>
      </c>
      <c r="AJ7">
        <v>4.9000000000000004</v>
      </c>
      <c r="AK7">
        <v>1.52</v>
      </c>
      <c r="AL7">
        <v>6.77</v>
      </c>
      <c r="AM7">
        <v>4.67</v>
      </c>
      <c r="AN7">
        <v>1.47</v>
      </c>
      <c r="AO7">
        <v>1</v>
      </c>
      <c r="AP7">
        <v>53.584661318752403</v>
      </c>
      <c r="AQ7">
        <v>82.017338753192504</v>
      </c>
      <c r="AR7">
        <v>264.39799992805501</v>
      </c>
      <c r="AS7">
        <v>400</v>
      </c>
      <c r="AT7">
        <v>1.88495989064364</v>
      </c>
      <c r="AU7">
        <v>16.9373141305513</v>
      </c>
      <c r="AV7">
        <f>AV6+BA6</f>
        <v>454.71200501994184</v>
      </c>
      <c r="AW7">
        <f>AV7/(1+AI7/AJ7+AI7/AK7)</f>
        <v>60.913971966411147</v>
      </c>
      <c r="AX7">
        <f t="shared" si="1"/>
        <v>93.235671377159917</v>
      </c>
      <c r="AY7">
        <f t="shared" si="2"/>
        <v>300.56236167637081</v>
      </c>
      <c r="AZ7" cm="1">
        <f t="array" ref="AZ7">_xlfn.IFS(E7="H",AW7*AI7-AV7,E7="D",AX7*AJ7-AV7,E7="A",AY7*AK7-AV7)</f>
        <v>2.1427847281418053</v>
      </c>
      <c r="BA7">
        <f t="shared" si="3"/>
        <v>17.54023498302768</v>
      </c>
    </row>
    <row r="8" spans="1:53" x14ac:dyDescent="0.2">
      <c r="A8">
        <v>2</v>
      </c>
      <c r="B8" t="s">
        <v>55</v>
      </c>
      <c r="C8" s="1">
        <v>43694</v>
      </c>
      <c r="D8" t="s">
        <v>90</v>
      </c>
      <c r="E8" t="s">
        <v>49</v>
      </c>
      <c r="F8" t="s">
        <v>174</v>
      </c>
      <c r="G8" t="s">
        <v>165</v>
      </c>
      <c r="H8">
        <v>39066</v>
      </c>
      <c r="I8" t="s">
        <v>175</v>
      </c>
      <c r="J8" t="s">
        <v>191</v>
      </c>
      <c r="K8" t="s">
        <v>54</v>
      </c>
      <c r="L8">
        <v>2019</v>
      </c>
      <c r="M8">
        <v>3</v>
      </c>
      <c r="N8">
        <v>2.25</v>
      </c>
      <c r="O8">
        <v>0.75</v>
      </c>
      <c r="P8">
        <v>1</v>
      </c>
      <c r="Q8">
        <v>1.72</v>
      </c>
      <c r="R8">
        <v>3.8</v>
      </c>
      <c r="S8">
        <v>4.75</v>
      </c>
      <c r="T8">
        <v>1.67</v>
      </c>
      <c r="U8">
        <v>4</v>
      </c>
      <c r="V8">
        <v>5</v>
      </c>
      <c r="W8">
        <v>1.7</v>
      </c>
      <c r="X8">
        <v>3.9</v>
      </c>
      <c r="Y8">
        <v>4.6500000000000004</v>
      </c>
      <c r="Z8">
        <v>1.76</v>
      </c>
      <c r="AA8">
        <v>3.95</v>
      </c>
      <c r="AB8">
        <v>4.87</v>
      </c>
      <c r="AC8">
        <v>1.73</v>
      </c>
      <c r="AD8">
        <v>3.8</v>
      </c>
      <c r="AE8">
        <v>4.8</v>
      </c>
      <c r="AF8">
        <v>1.73</v>
      </c>
      <c r="AG8">
        <v>4</v>
      </c>
      <c r="AH8">
        <v>5.2</v>
      </c>
      <c r="AI8">
        <v>1.8</v>
      </c>
      <c r="AJ8">
        <v>4.05</v>
      </c>
      <c r="AK8">
        <v>5.2</v>
      </c>
      <c r="AL8">
        <v>1.73</v>
      </c>
      <c r="AM8">
        <v>3.9</v>
      </c>
      <c r="AN8">
        <v>4.8600000000000003</v>
      </c>
      <c r="AO8">
        <v>1</v>
      </c>
      <c r="AP8">
        <v>223.38902147971299</v>
      </c>
      <c r="AQ8">
        <v>99.284009546539394</v>
      </c>
      <c r="AR8">
        <v>77.326968973747</v>
      </c>
      <c r="AS8">
        <v>400</v>
      </c>
      <c r="AT8">
        <v>2.1002386634844998</v>
      </c>
      <c r="AU8">
        <v>19.0375527940358</v>
      </c>
      <c r="AV8">
        <f t="shared" ref="AV8:AV9" si="4">AV7+BA7</f>
        <v>472.25224000296953</v>
      </c>
      <c r="AW8">
        <f t="shared" si="0"/>
        <v>263.73991446466556</v>
      </c>
      <c r="AX8">
        <f t="shared" si="1"/>
        <v>117.21773976207359</v>
      </c>
      <c r="AY8">
        <f t="shared" si="2"/>
        <v>91.294585776230392</v>
      </c>
      <c r="AZ8" cm="1">
        <f t="array" ref="AZ8">_xlfn.IFS(E8="H",AW8*AI8-AV8,E8="D",AX8*AJ8-AV8,E8="A",AY8*AK8-AV8)</f>
        <v>2.4796060334284675</v>
      </c>
      <c r="BA8">
        <f t="shared" si="3"/>
        <v>20.019841016456148</v>
      </c>
    </row>
    <row r="9" spans="1:53" x14ac:dyDescent="0.2">
      <c r="A9">
        <v>2</v>
      </c>
      <c r="B9" t="s">
        <v>55</v>
      </c>
      <c r="C9" s="1">
        <v>43694</v>
      </c>
      <c r="D9" t="s">
        <v>56</v>
      </c>
      <c r="E9" t="s">
        <v>57</v>
      </c>
      <c r="F9" t="s">
        <v>58</v>
      </c>
      <c r="G9" t="s">
        <v>59</v>
      </c>
      <c r="H9">
        <v>34832</v>
      </c>
      <c r="I9" t="s">
        <v>60</v>
      </c>
      <c r="J9" t="s">
        <v>61</v>
      </c>
      <c r="K9" t="s">
        <v>54</v>
      </c>
      <c r="L9">
        <v>2019</v>
      </c>
      <c r="M9">
        <v>2.25</v>
      </c>
      <c r="N9">
        <v>2.25</v>
      </c>
      <c r="O9">
        <v>1.75</v>
      </c>
      <c r="P9">
        <v>2.25</v>
      </c>
      <c r="Q9">
        <v>2.6</v>
      </c>
      <c r="R9">
        <v>3.1</v>
      </c>
      <c r="S9">
        <v>2.9</v>
      </c>
      <c r="T9">
        <v>2.6</v>
      </c>
      <c r="U9">
        <v>3.2</v>
      </c>
      <c r="V9">
        <v>2.8</v>
      </c>
      <c r="W9">
        <v>2.5499999999999998</v>
      </c>
      <c r="X9">
        <v>3.2</v>
      </c>
      <c r="Y9">
        <v>2.85</v>
      </c>
      <c r="Z9">
        <v>2.62</v>
      </c>
      <c r="AA9">
        <v>3.16</v>
      </c>
      <c r="AB9">
        <v>3.01</v>
      </c>
      <c r="AC9">
        <v>2.5</v>
      </c>
      <c r="AD9">
        <v>3.2</v>
      </c>
      <c r="AE9">
        <v>2.88</v>
      </c>
      <c r="AF9">
        <v>2.5499999999999998</v>
      </c>
      <c r="AG9">
        <v>3.2</v>
      </c>
      <c r="AH9">
        <v>3</v>
      </c>
      <c r="AI9">
        <v>2.75</v>
      </c>
      <c r="AJ9">
        <v>3.34</v>
      </c>
      <c r="AK9">
        <v>3.01</v>
      </c>
      <c r="AL9">
        <v>2.58</v>
      </c>
      <c r="AM9">
        <v>3.16</v>
      </c>
      <c r="AN9">
        <v>2.88</v>
      </c>
      <c r="AO9">
        <v>1</v>
      </c>
      <c r="AP9">
        <v>146.14677332015299</v>
      </c>
      <c r="AQ9">
        <v>120.330427134856</v>
      </c>
      <c r="AR9">
        <v>133.52279954498999</v>
      </c>
      <c r="AS9">
        <v>400</v>
      </c>
      <c r="AT9">
        <v>1.90362663042088</v>
      </c>
      <c r="AU9">
        <v>20.941179424456699</v>
      </c>
      <c r="AV9">
        <f t="shared" si="4"/>
        <v>492.27208101942568</v>
      </c>
      <c r="AW9">
        <f t="shared" si="0"/>
        <v>179.85994059146506</v>
      </c>
      <c r="AX9">
        <f t="shared" si="1"/>
        <v>148.08827443908052</v>
      </c>
      <c r="AY9">
        <f t="shared" si="2"/>
        <v>164.32386598888004</v>
      </c>
      <c r="AZ9" cm="1">
        <f t="array" ref="AZ9">_xlfn.IFS(E9="H",AW9*AI9-AV9,E9="D",AX9*AJ9-AV9,E9="A",AY9*AK9-AV9)</f>
        <v>2.3427556071032427</v>
      </c>
      <c r="BA9">
        <f t="shared" si="3"/>
        <v>22.362596623559391</v>
      </c>
    </row>
    <row r="10" spans="1:53" x14ac:dyDescent="0.2">
      <c r="A10">
        <v>2</v>
      </c>
      <c r="B10" t="s">
        <v>55</v>
      </c>
      <c r="C10" s="1">
        <v>43694</v>
      </c>
      <c r="D10" t="s">
        <v>62</v>
      </c>
      <c r="E10" t="s">
        <v>57</v>
      </c>
      <c r="F10" t="s">
        <v>63</v>
      </c>
      <c r="G10" t="s">
        <v>64</v>
      </c>
      <c r="H10">
        <v>30192</v>
      </c>
      <c r="I10" t="s">
        <v>65</v>
      </c>
      <c r="J10" t="s">
        <v>66</v>
      </c>
      <c r="K10" t="s">
        <v>54</v>
      </c>
      <c r="L10">
        <v>2019</v>
      </c>
      <c r="M10">
        <v>0.75</v>
      </c>
      <c r="N10">
        <v>1</v>
      </c>
      <c r="O10">
        <v>1.5</v>
      </c>
      <c r="P10">
        <v>1</v>
      </c>
      <c r="Q10">
        <v>2.62</v>
      </c>
      <c r="R10">
        <v>3</v>
      </c>
      <c r="S10">
        <v>3</v>
      </c>
      <c r="T10">
        <v>2.8</v>
      </c>
      <c r="U10">
        <v>2.9</v>
      </c>
      <c r="V10">
        <v>2.85</v>
      </c>
      <c r="W10">
        <v>2.7</v>
      </c>
      <c r="X10">
        <v>3</v>
      </c>
      <c r="Y10">
        <v>2.9</v>
      </c>
      <c r="Z10">
        <v>2.79</v>
      </c>
      <c r="AA10">
        <v>3</v>
      </c>
      <c r="AB10">
        <v>2.96</v>
      </c>
      <c r="AC10">
        <v>2.62</v>
      </c>
      <c r="AD10">
        <v>3</v>
      </c>
      <c r="AE10">
        <v>2.88</v>
      </c>
      <c r="AF10">
        <v>2.7</v>
      </c>
      <c r="AG10">
        <v>3</v>
      </c>
      <c r="AH10">
        <v>3</v>
      </c>
      <c r="AI10">
        <v>2.85</v>
      </c>
      <c r="AJ10">
        <v>3.16</v>
      </c>
      <c r="AK10">
        <v>3.03</v>
      </c>
      <c r="AL10">
        <v>2.7</v>
      </c>
      <c r="AM10">
        <v>2.98</v>
      </c>
      <c r="AN10">
        <v>2.9</v>
      </c>
      <c r="AO10">
        <v>1</v>
      </c>
      <c r="AP10">
        <v>140.72155289293499</v>
      </c>
      <c r="AQ10">
        <v>126.91659042559</v>
      </c>
      <c r="AR10">
        <v>132.361856681473</v>
      </c>
      <c r="AS10">
        <v>400</v>
      </c>
      <c r="AT10">
        <v>1.05642574486614</v>
      </c>
      <c r="AU10">
        <v>21.997605169322899</v>
      </c>
      <c r="AV10">
        <f t="shared" ref="AV10:AV51" si="5">AV9+BA9</f>
        <v>514.63467764298503</v>
      </c>
      <c r="AW10">
        <f t="shared" ref="AW10:AW51" si="6">AV10/(1+AI10/AJ10+AI10/AK10)</f>
        <v>181.05047752619032</v>
      </c>
      <c r="AX10">
        <f t="shared" ref="AX10:AX51" si="7">AV10/(1+AJ10/AI10+AJ10/AK10)</f>
        <v>163.28919650305139</v>
      </c>
      <c r="AY10">
        <f t="shared" ref="AY10:AY51" si="8">AV10/(1+AK10/AI10+AK10/AJ10)</f>
        <v>170.29500361374335</v>
      </c>
      <c r="AZ10" cm="1">
        <f t="array" ref="AZ10">_xlfn.IFS(E10="H",AW10*AI10-AV10,E10="D",AX10*AJ10-AV10,E10="A",AY10*AK10-AV10)</f>
        <v>1.3591833066574281</v>
      </c>
      <c r="BA10">
        <f t="shared" ref="BA10:BA51" si="9">AZ10+BA9</f>
        <v>23.721779930216819</v>
      </c>
    </row>
    <row r="11" spans="1:53" x14ac:dyDescent="0.2">
      <c r="A11">
        <v>2</v>
      </c>
      <c r="B11" t="s">
        <v>55</v>
      </c>
      <c r="C11" s="1">
        <v>43694</v>
      </c>
      <c r="D11" t="s">
        <v>62</v>
      </c>
      <c r="E11" t="s">
        <v>74</v>
      </c>
      <c r="F11" t="s">
        <v>95</v>
      </c>
      <c r="G11" t="s">
        <v>104</v>
      </c>
      <c r="H11">
        <v>13243</v>
      </c>
      <c r="I11" t="s">
        <v>97</v>
      </c>
      <c r="J11" t="s">
        <v>198</v>
      </c>
      <c r="K11" t="s">
        <v>54</v>
      </c>
      <c r="L11">
        <v>2019</v>
      </c>
      <c r="M11">
        <v>2.25</v>
      </c>
      <c r="N11">
        <v>2</v>
      </c>
      <c r="O11">
        <v>1.25</v>
      </c>
      <c r="P11">
        <v>0.5</v>
      </c>
      <c r="Q11">
        <v>2.1</v>
      </c>
      <c r="R11">
        <v>3.3</v>
      </c>
      <c r="S11">
        <v>3.6</v>
      </c>
      <c r="T11">
        <v>2.2000000000000002</v>
      </c>
      <c r="U11">
        <v>3.25</v>
      </c>
      <c r="V11">
        <v>3.5</v>
      </c>
      <c r="W11">
        <v>2.15</v>
      </c>
      <c r="X11">
        <v>3.3</v>
      </c>
      <c r="Y11">
        <v>3.5</v>
      </c>
      <c r="Z11">
        <v>2.15</v>
      </c>
      <c r="AA11">
        <v>3.45</v>
      </c>
      <c r="AB11">
        <v>3.63</v>
      </c>
      <c r="AC11">
        <v>2.1</v>
      </c>
      <c r="AD11">
        <v>3.4</v>
      </c>
      <c r="AE11">
        <v>3.4</v>
      </c>
      <c r="AF11">
        <v>2.2000000000000002</v>
      </c>
      <c r="AG11">
        <v>3.3</v>
      </c>
      <c r="AH11">
        <v>3.5</v>
      </c>
      <c r="AI11">
        <v>2.2999999999999998</v>
      </c>
      <c r="AJ11">
        <v>3.54</v>
      </c>
      <c r="AK11">
        <v>3.63</v>
      </c>
      <c r="AL11">
        <v>2.16</v>
      </c>
      <c r="AM11">
        <v>3.33</v>
      </c>
      <c r="AN11">
        <v>3.46</v>
      </c>
      <c r="AO11">
        <v>1</v>
      </c>
      <c r="AP11">
        <v>175.18301909942301</v>
      </c>
      <c r="AQ11">
        <v>113.819475686066</v>
      </c>
      <c r="AR11">
        <v>110.99750521451</v>
      </c>
      <c r="AS11">
        <v>400</v>
      </c>
      <c r="AT11">
        <v>2.9209439286736298</v>
      </c>
      <c r="AU11">
        <v>24.9185490979965</v>
      </c>
      <c r="AV11">
        <f t="shared" si="5"/>
        <v>538.35645757320185</v>
      </c>
      <c r="AW11">
        <f t="shared" si="6"/>
        <v>235.77727397336028</v>
      </c>
      <c r="AX11">
        <f t="shared" si="7"/>
        <v>153.18862433297417</v>
      </c>
      <c r="AY11">
        <f t="shared" si="8"/>
        <v>149.3905592668674</v>
      </c>
      <c r="AZ11" cm="1">
        <f t="array" ref="AZ11">_xlfn.IFS(E11="H",AW11*AI11-AV11,E11="D",AX11*AJ11-AV11,E11="A",AY11*AK11-AV11)</f>
        <v>3.9312725655267968</v>
      </c>
      <c r="BA11">
        <f t="shared" si="9"/>
        <v>27.653052495743616</v>
      </c>
    </row>
    <row r="12" spans="1:53" x14ac:dyDescent="0.2">
      <c r="A12">
        <v>2</v>
      </c>
      <c r="B12" t="s">
        <v>55</v>
      </c>
      <c r="C12" s="1">
        <v>43694</v>
      </c>
      <c r="D12" t="s">
        <v>62</v>
      </c>
      <c r="E12" t="s">
        <v>49</v>
      </c>
      <c r="F12" t="s">
        <v>139</v>
      </c>
      <c r="G12" t="s">
        <v>199</v>
      </c>
      <c r="H12">
        <v>10583</v>
      </c>
      <c r="I12" t="s">
        <v>140</v>
      </c>
      <c r="J12" t="s">
        <v>85</v>
      </c>
      <c r="K12" t="s">
        <v>54</v>
      </c>
      <c r="L12">
        <v>2019</v>
      </c>
      <c r="M12">
        <v>1.25</v>
      </c>
      <c r="N12">
        <v>1.25</v>
      </c>
      <c r="O12">
        <v>0.75</v>
      </c>
      <c r="P12">
        <v>0.75</v>
      </c>
      <c r="Q12">
        <v>2.1</v>
      </c>
      <c r="R12">
        <v>3.1</v>
      </c>
      <c r="S12">
        <v>4</v>
      </c>
      <c r="T12">
        <v>1.95</v>
      </c>
      <c r="U12">
        <v>3.5</v>
      </c>
      <c r="V12">
        <v>3.9</v>
      </c>
      <c r="W12">
        <v>2</v>
      </c>
      <c r="X12">
        <v>3.45</v>
      </c>
      <c r="Y12">
        <v>3.85</v>
      </c>
      <c r="Z12">
        <v>2.02</v>
      </c>
      <c r="AA12">
        <v>3.49</v>
      </c>
      <c r="AB12">
        <v>4.03</v>
      </c>
      <c r="AC12">
        <v>1.95</v>
      </c>
      <c r="AD12">
        <v>3.4</v>
      </c>
      <c r="AE12">
        <v>3.9</v>
      </c>
      <c r="AF12">
        <v>2</v>
      </c>
      <c r="AG12">
        <v>3.4</v>
      </c>
      <c r="AH12">
        <v>4.0999999999999996</v>
      </c>
      <c r="AI12">
        <v>2.1</v>
      </c>
      <c r="AJ12">
        <v>3.58</v>
      </c>
      <c r="AK12">
        <v>4.0999999999999996</v>
      </c>
      <c r="AL12">
        <v>2</v>
      </c>
      <c r="AM12">
        <v>3.42</v>
      </c>
      <c r="AN12">
        <v>3.87</v>
      </c>
      <c r="AO12">
        <v>1</v>
      </c>
      <c r="AP12">
        <v>190.586249431928</v>
      </c>
      <c r="AQ12">
        <v>111.796403298058</v>
      </c>
      <c r="AR12">
        <v>97.617347270012303</v>
      </c>
      <c r="AS12">
        <v>400</v>
      </c>
      <c r="AT12">
        <v>0.23112380705060701</v>
      </c>
      <c r="AU12">
        <v>25.149672905047101</v>
      </c>
      <c r="AV12">
        <f t="shared" si="5"/>
        <v>566.00951006894547</v>
      </c>
      <c r="AW12">
        <f t="shared" si="6"/>
        <v>269.68407416710971</v>
      </c>
      <c r="AX12">
        <f t="shared" si="7"/>
        <v>158.19456864551128</v>
      </c>
      <c r="AY12">
        <f t="shared" si="8"/>
        <v>138.13086725632451</v>
      </c>
      <c r="AZ12" cm="1">
        <f t="array" ref="AZ12">_xlfn.IFS(E12="H",AW12*AI12-AV12,E12="D",AX12*AJ12-AV12,E12="A",AY12*AK12-AV12)</f>
        <v>0.32704568198494144</v>
      </c>
      <c r="BA12">
        <f t="shared" si="9"/>
        <v>27.980098177728557</v>
      </c>
    </row>
    <row r="13" spans="1:53" x14ac:dyDescent="0.2">
      <c r="A13">
        <v>1</v>
      </c>
      <c r="B13" t="s">
        <v>67</v>
      </c>
      <c r="C13" s="1">
        <v>43695</v>
      </c>
      <c r="D13" t="s">
        <v>178</v>
      </c>
      <c r="E13" t="s">
        <v>49</v>
      </c>
      <c r="F13" t="s">
        <v>188</v>
      </c>
      <c r="G13" t="s">
        <v>135</v>
      </c>
      <c r="H13">
        <v>55099</v>
      </c>
      <c r="I13" t="s">
        <v>189</v>
      </c>
      <c r="J13" t="s">
        <v>211</v>
      </c>
      <c r="K13" t="s">
        <v>54</v>
      </c>
      <c r="L13">
        <v>2019</v>
      </c>
      <c r="M13">
        <v>2.5</v>
      </c>
      <c r="N13">
        <v>1.75</v>
      </c>
      <c r="O13">
        <v>0.5</v>
      </c>
      <c r="P13">
        <v>1</v>
      </c>
      <c r="Q13">
        <v>1.44</v>
      </c>
      <c r="R13">
        <v>4.33</v>
      </c>
      <c r="S13">
        <v>8</v>
      </c>
      <c r="T13">
        <v>1.45</v>
      </c>
      <c r="U13">
        <v>4.33</v>
      </c>
      <c r="V13">
        <v>7.5</v>
      </c>
      <c r="W13">
        <v>1.45</v>
      </c>
      <c r="X13">
        <v>4.4000000000000004</v>
      </c>
      <c r="Y13">
        <v>7.2</v>
      </c>
      <c r="Z13">
        <v>1.49</v>
      </c>
      <c r="AA13">
        <v>4.34</v>
      </c>
      <c r="AB13">
        <v>7.58</v>
      </c>
      <c r="AC13">
        <v>1.47</v>
      </c>
      <c r="AD13">
        <v>4.2</v>
      </c>
      <c r="AE13">
        <v>8</v>
      </c>
      <c r="AF13">
        <v>1.45</v>
      </c>
      <c r="AG13">
        <v>4.2</v>
      </c>
      <c r="AH13">
        <v>8</v>
      </c>
      <c r="AI13">
        <v>1.52</v>
      </c>
      <c r="AJ13">
        <v>4.5</v>
      </c>
      <c r="AK13">
        <v>8.5</v>
      </c>
      <c r="AL13">
        <v>1.47</v>
      </c>
      <c r="AM13">
        <v>4.2300000000000004</v>
      </c>
      <c r="AN13">
        <v>7.63</v>
      </c>
      <c r="AO13">
        <v>1</v>
      </c>
      <c r="AP13">
        <v>263.74762971901401</v>
      </c>
      <c r="AQ13">
        <v>89.088088260644696</v>
      </c>
      <c r="AR13">
        <v>47.164282020341297</v>
      </c>
      <c r="AS13">
        <v>400</v>
      </c>
      <c r="AT13">
        <v>0.89639717290128795</v>
      </c>
      <c r="AU13">
        <v>26.0460700779484</v>
      </c>
      <c r="AV13">
        <f t="shared" si="5"/>
        <v>593.98960824667404</v>
      </c>
      <c r="AW13">
        <f t="shared" si="6"/>
        <v>391.65837813196492</v>
      </c>
      <c r="AX13">
        <f t="shared" si="7"/>
        <v>132.2934966134637</v>
      </c>
      <c r="AY13">
        <f t="shared" si="8"/>
        <v>70.037733501245484</v>
      </c>
      <c r="AZ13" cm="1">
        <f t="array" ref="AZ13">_xlfn.IFS(E13="H",AW13*AI13-AV13,E13="D",AX13*AJ13-AV13,E13="A",AY13*AK13-AV13)</f>
        <v>1.3311265139126363</v>
      </c>
      <c r="BA13">
        <f t="shared" si="9"/>
        <v>29.311224691641193</v>
      </c>
    </row>
    <row r="14" spans="1:53" x14ac:dyDescent="0.2">
      <c r="A14">
        <v>2</v>
      </c>
      <c r="B14" t="s">
        <v>67</v>
      </c>
      <c r="C14" s="1">
        <v>43695</v>
      </c>
      <c r="D14" t="s">
        <v>68</v>
      </c>
      <c r="E14" t="s">
        <v>49</v>
      </c>
      <c r="F14" t="s">
        <v>69</v>
      </c>
      <c r="G14" t="s">
        <v>70</v>
      </c>
      <c r="H14">
        <v>28596</v>
      </c>
      <c r="I14" t="s">
        <v>71</v>
      </c>
      <c r="J14" t="s">
        <v>72</v>
      </c>
      <c r="K14" t="s">
        <v>54</v>
      </c>
      <c r="L14">
        <v>2019</v>
      </c>
      <c r="M14">
        <v>1.5</v>
      </c>
      <c r="N14">
        <v>1.5</v>
      </c>
      <c r="O14">
        <v>0.75</v>
      </c>
      <c r="P14">
        <v>1.75</v>
      </c>
      <c r="Q14">
        <v>8</v>
      </c>
      <c r="R14">
        <v>5.25</v>
      </c>
      <c r="S14">
        <v>1.36</v>
      </c>
      <c r="T14">
        <v>7.75</v>
      </c>
      <c r="U14">
        <v>5.75</v>
      </c>
      <c r="V14">
        <v>1.34</v>
      </c>
      <c r="W14">
        <v>7.5</v>
      </c>
      <c r="X14">
        <v>5.4</v>
      </c>
      <c r="Y14">
        <v>1.36</v>
      </c>
      <c r="Z14">
        <v>7.57</v>
      </c>
      <c r="AA14">
        <v>5.61</v>
      </c>
      <c r="AB14">
        <v>1.38</v>
      </c>
      <c r="AC14">
        <v>9</v>
      </c>
      <c r="AD14">
        <v>5.25</v>
      </c>
      <c r="AE14">
        <v>1.32</v>
      </c>
      <c r="AF14">
        <v>9.5</v>
      </c>
      <c r="AG14">
        <v>5.5</v>
      </c>
      <c r="AH14">
        <v>1.33</v>
      </c>
      <c r="AI14">
        <v>9.5</v>
      </c>
      <c r="AJ14">
        <v>5.75</v>
      </c>
      <c r="AK14">
        <v>1.42</v>
      </c>
      <c r="AL14">
        <v>7.83</v>
      </c>
      <c r="AM14">
        <v>5.35</v>
      </c>
      <c r="AN14">
        <v>1.36</v>
      </c>
      <c r="AO14">
        <v>1</v>
      </c>
      <c r="AP14">
        <v>42.815941269008903</v>
      </c>
      <c r="AQ14">
        <v>70.739381227058203</v>
      </c>
      <c r="AR14">
        <v>286.44467750393198</v>
      </c>
      <c r="AS14">
        <v>399.99999999999898</v>
      </c>
      <c r="AT14">
        <v>6.7514420555847297</v>
      </c>
      <c r="AU14">
        <v>32.797512133533097</v>
      </c>
      <c r="AV14">
        <f t="shared" si="5"/>
        <v>623.30083293831524</v>
      </c>
      <c r="AW14">
        <f t="shared" si="6"/>
        <v>66.718029640028107</v>
      </c>
      <c r="AX14">
        <f t="shared" si="7"/>
        <v>110.229788100916</v>
      </c>
      <c r="AY14">
        <f t="shared" si="8"/>
        <v>446.35301519737106</v>
      </c>
      <c r="AZ14" cm="1">
        <f t="array" ref="AZ14">_xlfn.IFS(E14="H",AW14*AI14-AV14,E14="D",AX14*AJ14-AV14,E14="A",AY14*AK14-AV14)</f>
        <v>10.520448641951816</v>
      </c>
      <c r="BA14">
        <f t="shared" si="9"/>
        <v>39.83167333359301</v>
      </c>
    </row>
    <row r="15" spans="1:53" x14ac:dyDescent="0.2">
      <c r="A15">
        <v>2</v>
      </c>
      <c r="B15" t="s">
        <v>55</v>
      </c>
      <c r="C15" s="1">
        <v>43701</v>
      </c>
      <c r="D15" t="s">
        <v>73</v>
      </c>
      <c r="E15" t="s">
        <v>74</v>
      </c>
      <c r="F15" t="s">
        <v>167</v>
      </c>
      <c r="G15" t="s">
        <v>147</v>
      </c>
      <c r="H15">
        <v>44538</v>
      </c>
      <c r="I15" t="s">
        <v>168</v>
      </c>
      <c r="J15" t="s">
        <v>127</v>
      </c>
      <c r="K15" t="s">
        <v>54</v>
      </c>
      <c r="L15">
        <v>2019</v>
      </c>
      <c r="M15">
        <v>2.25</v>
      </c>
      <c r="N15">
        <v>2.5</v>
      </c>
      <c r="O15">
        <v>2.25</v>
      </c>
      <c r="P15">
        <v>2.75</v>
      </c>
      <c r="Q15">
        <v>4.75</v>
      </c>
      <c r="R15">
        <v>4</v>
      </c>
      <c r="S15">
        <v>1.7</v>
      </c>
      <c r="T15">
        <v>4.25</v>
      </c>
      <c r="U15">
        <v>4</v>
      </c>
      <c r="V15">
        <v>1.72</v>
      </c>
      <c r="W15">
        <v>4.3499999999999996</v>
      </c>
      <c r="X15">
        <v>4.25</v>
      </c>
      <c r="Y15">
        <v>1.7</v>
      </c>
      <c r="Z15">
        <v>4.45</v>
      </c>
      <c r="AA15">
        <v>4.32</v>
      </c>
      <c r="AB15">
        <v>1.74</v>
      </c>
      <c r="AC15">
        <v>4.33</v>
      </c>
      <c r="AD15">
        <v>4.2</v>
      </c>
      <c r="AE15">
        <v>1.73</v>
      </c>
      <c r="AF15">
        <v>4.3</v>
      </c>
      <c r="AG15">
        <v>4.4000000000000004</v>
      </c>
      <c r="AH15">
        <v>1.73</v>
      </c>
      <c r="AI15">
        <v>4.75</v>
      </c>
      <c r="AJ15">
        <v>4.4000000000000004</v>
      </c>
      <c r="AK15">
        <v>1.78</v>
      </c>
      <c r="AL15">
        <v>4.3600000000000003</v>
      </c>
      <c r="AM15">
        <v>4.2</v>
      </c>
      <c r="AN15">
        <v>1.72</v>
      </c>
      <c r="AO15">
        <v>1</v>
      </c>
      <c r="AP15">
        <v>84.244494043617394</v>
      </c>
      <c r="AQ15">
        <v>90.945760615268696</v>
      </c>
      <c r="AR15">
        <v>224.809745341113</v>
      </c>
      <c r="AS15">
        <v>400</v>
      </c>
      <c r="AT15">
        <v>0.16134670718258801</v>
      </c>
      <c r="AU15">
        <v>32.958858840715699</v>
      </c>
      <c r="AV15">
        <f t="shared" si="5"/>
        <v>663.13250627190826</v>
      </c>
      <c r="AW15">
        <f t="shared" si="6"/>
        <v>139.66315618688213</v>
      </c>
      <c r="AX15">
        <f t="shared" si="7"/>
        <v>150.77272542902045</v>
      </c>
      <c r="AY15">
        <f t="shared" si="8"/>
        <v>372.69662465600567</v>
      </c>
      <c r="AZ15" cm="1">
        <f t="array" ref="AZ15">_xlfn.IFS(E15="H",AW15*AI15-AV15,E15="D",AX15*AJ15-AV15,E15="A",AY15*AK15-AV15)</f>
        <v>0.26748561578187946</v>
      </c>
      <c r="BA15">
        <f t="shared" si="9"/>
        <v>40.099158949374889</v>
      </c>
    </row>
    <row r="16" spans="1:53" x14ac:dyDescent="0.2">
      <c r="A16">
        <v>2</v>
      </c>
      <c r="B16" t="s">
        <v>55</v>
      </c>
      <c r="C16" s="1">
        <v>43701</v>
      </c>
      <c r="D16" t="s">
        <v>73</v>
      </c>
      <c r="E16" t="s">
        <v>74</v>
      </c>
      <c r="F16" t="s">
        <v>75</v>
      </c>
      <c r="G16" t="s">
        <v>76</v>
      </c>
      <c r="H16">
        <v>28005</v>
      </c>
      <c r="I16" t="s">
        <v>77</v>
      </c>
      <c r="J16" t="s">
        <v>78</v>
      </c>
      <c r="K16" t="s">
        <v>54</v>
      </c>
      <c r="L16">
        <v>2019</v>
      </c>
      <c r="M16">
        <v>2.5</v>
      </c>
      <c r="N16">
        <v>3.75</v>
      </c>
      <c r="O16">
        <v>1.5</v>
      </c>
      <c r="P16">
        <v>1.5</v>
      </c>
      <c r="Q16">
        <v>2.9</v>
      </c>
      <c r="R16">
        <v>3.4</v>
      </c>
      <c r="S16">
        <v>2.4</v>
      </c>
      <c r="T16">
        <v>2.85</v>
      </c>
      <c r="U16">
        <v>3.4</v>
      </c>
      <c r="V16">
        <v>2.35</v>
      </c>
      <c r="W16">
        <v>2.85</v>
      </c>
      <c r="X16">
        <v>3.45</v>
      </c>
      <c r="Y16">
        <v>2.4500000000000002</v>
      </c>
      <c r="Z16">
        <v>2.85</v>
      </c>
      <c r="AA16">
        <v>3.48</v>
      </c>
      <c r="AB16">
        <v>2.56</v>
      </c>
      <c r="AC16">
        <v>2.8</v>
      </c>
      <c r="AD16">
        <v>3.4</v>
      </c>
      <c r="AE16">
        <v>2.5</v>
      </c>
      <c r="AF16">
        <v>2.8</v>
      </c>
      <c r="AG16">
        <v>3.4</v>
      </c>
      <c r="AH16">
        <v>2.5499999999999998</v>
      </c>
      <c r="AI16">
        <v>3.25</v>
      </c>
      <c r="AJ16">
        <v>3.55</v>
      </c>
      <c r="AK16">
        <v>2.59</v>
      </c>
      <c r="AL16">
        <v>2.86</v>
      </c>
      <c r="AM16">
        <v>3.42</v>
      </c>
      <c r="AN16">
        <v>2.46</v>
      </c>
      <c r="AO16">
        <v>1</v>
      </c>
      <c r="AP16">
        <v>126.170260210295</v>
      </c>
      <c r="AQ16">
        <v>115.50798469956599</v>
      </c>
      <c r="AR16">
        <v>158.321755090138</v>
      </c>
      <c r="AS16">
        <v>400</v>
      </c>
      <c r="AT16">
        <v>10.0533456834593</v>
      </c>
      <c r="AU16">
        <v>43.012204524175097</v>
      </c>
      <c r="AV16">
        <f t="shared" si="5"/>
        <v>703.23166522128315</v>
      </c>
      <c r="AW16">
        <f t="shared" si="6"/>
        <v>221.81730547272124</v>
      </c>
      <c r="AX16">
        <f t="shared" si="7"/>
        <v>203.07218106657581</v>
      </c>
      <c r="AY16">
        <f t="shared" si="8"/>
        <v>278.34217868198613</v>
      </c>
      <c r="AZ16" cm="1">
        <f t="array" ref="AZ16">_xlfn.IFS(E16="H",AW16*AI16-AV16,E16="D",AX16*AJ16-AV16,E16="A",AY16*AK16-AV16)</f>
        <v>17.674577565060872</v>
      </c>
      <c r="BA16">
        <f t="shared" si="9"/>
        <v>57.773736514435761</v>
      </c>
    </row>
    <row r="17" spans="1:53" x14ac:dyDescent="0.2">
      <c r="A17">
        <v>2</v>
      </c>
      <c r="B17" t="s">
        <v>55</v>
      </c>
      <c r="C17" s="1">
        <v>43701</v>
      </c>
      <c r="D17" t="s">
        <v>145</v>
      </c>
      <c r="E17" t="s">
        <v>74</v>
      </c>
      <c r="F17" t="s">
        <v>204</v>
      </c>
      <c r="G17" t="s">
        <v>146</v>
      </c>
      <c r="H17">
        <v>62271</v>
      </c>
      <c r="I17" t="s">
        <v>207</v>
      </c>
      <c r="J17" t="s">
        <v>177</v>
      </c>
      <c r="K17" t="s">
        <v>54</v>
      </c>
      <c r="L17">
        <v>2019</v>
      </c>
      <c r="M17">
        <v>0.5</v>
      </c>
      <c r="N17">
        <v>0.75</v>
      </c>
      <c r="O17">
        <v>1.5</v>
      </c>
      <c r="P17">
        <v>1.5</v>
      </c>
      <c r="Q17">
        <v>9</v>
      </c>
      <c r="R17">
        <v>4.75</v>
      </c>
      <c r="S17">
        <v>1.36</v>
      </c>
      <c r="T17">
        <v>7.75</v>
      </c>
      <c r="U17">
        <v>4.75</v>
      </c>
      <c r="V17">
        <v>1.36</v>
      </c>
      <c r="W17">
        <v>6.5</v>
      </c>
      <c r="X17">
        <v>4.3</v>
      </c>
      <c r="Y17">
        <v>1.5</v>
      </c>
      <c r="Z17">
        <v>8.69</v>
      </c>
      <c r="AA17">
        <v>5.05</v>
      </c>
      <c r="AB17">
        <v>1.39</v>
      </c>
      <c r="AC17">
        <v>8.5</v>
      </c>
      <c r="AD17">
        <v>5</v>
      </c>
      <c r="AE17">
        <v>1.36</v>
      </c>
      <c r="AF17">
        <v>8</v>
      </c>
      <c r="AG17">
        <v>5</v>
      </c>
      <c r="AH17">
        <v>1.4</v>
      </c>
      <c r="AI17">
        <v>9</v>
      </c>
      <c r="AJ17">
        <v>5.3</v>
      </c>
      <c r="AK17">
        <v>1.5</v>
      </c>
      <c r="AL17">
        <v>8.1199999999999992</v>
      </c>
      <c r="AM17">
        <v>4.93</v>
      </c>
      <c r="AN17">
        <v>1.38</v>
      </c>
      <c r="AO17">
        <v>1</v>
      </c>
      <c r="AP17">
        <v>45.9869848156182</v>
      </c>
      <c r="AQ17">
        <v>78.0911062906724</v>
      </c>
      <c r="AR17">
        <v>275.92190889370897</v>
      </c>
      <c r="AS17">
        <v>400</v>
      </c>
      <c r="AT17">
        <v>13.882863340563899</v>
      </c>
      <c r="AU17">
        <v>56.895067864739097</v>
      </c>
      <c r="AV17">
        <f t="shared" si="5"/>
        <v>761.00540173571892</v>
      </c>
      <c r="AW17">
        <f t="shared" si="6"/>
        <v>87.490859635559872</v>
      </c>
      <c r="AX17">
        <f t="shared" si="7"/>
        <v>148.56938428679979</v>
      </c>
      <c r="AY17">
        <f t="shared" si="8"/>
        <v>524.94515781335929</v>
      </c>
      <c r="AZ17" cm="1">
        <f t="array" ref="AZ17">_xlfn.IFS(E17="H",AW17*AI17-AV17,E17="D",AX17*AJ17-AV17,E17="A",AY17*AK17-AV17)</f>
        <v>26.412334984319955</v>
      </c>
      <c r="BA17">
        <f t="shared" si="9"/>
        <v>84.186071498755723</v>
      </c>
    </row>
    <row r="18" spans="1:53" x14ac:dyDescent="0.2">
      <c r="A18">
        <v>3</v>
      </c>
      <c r="B18" t="s">
        <v>55</v>
      </c>
      <c r="C18" s="1">
        <v>43701</v>
      </c>
      <c r="D18" t="s">
        <v>90</v>
      </c>
      <c r="E18" t="s">
        <v>74</v>
      </c>
      <c r="F18" t="s">
        <v>185</v>
      </c>
      <c r="G18" t="s">
        <v>129</v>
      </c>
      <c r="H18">
        <v>30019</v>
      </c>
      <c r="I18" t="s">
        <v>186</v>
      </c>
      <c r="J18" t="s">
        <v>103</v>
      </c>
      <c r="K18" t="s">
        <v>54</v>
      </c>
      <c r="L18">
        <v>2019</v>
      </c>
      <c r="M18">
        <v>0.5</v>
      </c>
      <c r="N18">
        <v>0.75</v>
      </c>
      <c r="O18">
        <v>0.25</v>
      </c>
      <c r="P18">
        <v>0.5</v>
      </c>
      <c r="Q18">
        <v>2.4</v>
      </c>
      <c r="R18">
        <v>3.3</v>
      </c>
      <c r="S18">
        <v>3</v>
      </c>
      <c r="T18">
        <v>2.4</v>
      </c>
      <c r="U18">
        <v>3.2</v>
      </c>
      <c r="V18">
        <v>3.1</v>
      </c>
      <c r="W18">
        <v>2.4</v>
      </c>
      <c r="X18">
        <v>3.25</v>
      </c>
      <c r="Y18">
        <v>3.05</v>
      </c>
      <c r="Z18">
        <v>2.4500000000000002</v>
      </c>
      <c r="AA18">
        <v>3.28</v>
      </c>
      <c r="AB18">
        <v>3.18</v>
      </c>
      <c r="AC18">
        <v>2.4</v>
      </c>
      <c r="AD18">
        <v>3.2</v>
      </c>
      <c r="AE18">
        <v>3.1</v>
      </c>
      <c r="AF18">
        <v>2.4500000000000002</v>
      </c>
      <c r="AG18">
        <v>3.3</v>
      </c>
      <c r="AH18">
        <v>3.2</v>
      </c>
      <c r="AI18">
        <v>2.5499999999999998</v>
      </c>
      <c r="AJ18">
        <v>3.4</v>
      </c>
      <c r="AK18">
        <v>3.2</v>
      </c>
      <c r="AL18">
        <v>2.4300000000000002</v>
      </c>
      <c r="AM18">
        <v>3.25</v>
      </c>
      <c r="AN18">
        <v>3.08</v>
      </c>
      <c r="AO18">
        <v>1</v>
      </c>
      <c r="AP18">
        <v>157.05521472392601</v>
      </c>
      <c r="AQ18">
        <v>117.79141104294401</v>
      </c>
      <c r="AR18">
        <v>125.15337423312801</v>
      </c>
      <c r="AS18">
        <v>400</v>
      </c>
      <c r="AT18">
        <v>0.49079754601228798</v>
      </c>
      <c r="AU18">
        <v>57.3858654107514</v>
      </c>
      <c r="AV18">
        <f t="shared" si="5"/>
        <v>845.19147323447464</v>
      </c>
      <c r="AW18">
        <f t="shared" si="6"/>
        <v>331.85432077918023</v>
      </c>
      <c r="AX18">
        <f t="shared" si="7"/>
        <v>248.89074058438516</v>
      </c>
      <c r="AY18">
        <f t="shared" si="8"/>
        <v>264.44641187090923</v>
      </c>
      <c r="AZ18" cm="1">
        <f t="array" ref="AZ18">_xlfn.IFS(E18="H",AW18*AI18-AV18,E18="D",AX18*AJ18-AV18,E18="A",AY18*AK18-AV18)</f>
        <v>1.0370447524348947</v>
      </c>
      <c r="BA18">
        <f t="shared" si="9"/>
        <v>85.223116251190618</v>
      </c>
    </row>
    <row r="19" spans="1:53" x14ac:dyDescent="0.2">
      <c r="A19">
        <v>3</v>
      </c>
      <c r="B19" t="s">
        <v>55</v>
      </c>
      <c r="C19" s="1">
        <v>43701</v>
      </c>
      <c r="D19" t="s">
        <v>62</v>
      </c>
      <c r="E19" t="s">
        <v>49</v>
      </c>
      <c r="F19" t="s">
        <v>51</v>
      </c>
      <c r="G19" t="s">
        <v>79</v>
      </c>
      <c r="H19">
        <v>9001</v>
      </c>
      <c r="I19" t="s">
        <v>80</v>
      </c>
      <c r="J19" t="s">
        <v>81</v>
      </c>
      <c r="K19" t="s">
        <v>54</v>
      </c>
      <c r="L19">
        <v>2019</v>
      </c>
      <c r="M19">
        <v>1.25</v>
      </c>
      <c r="N19">
        <v>1.5</v>
      </c>
      <c r="O19">
        <v>1</v>
      </c>
      <c r="P19">
        <v>1</v>
      </c>
      <c r="Q19">
        <v>2.1</v>
      </c>
      <c r="R19">
        <v>3.25</v>
      </c>
      <c r="S19">
        <v>3.75</v>
      </c>
      <c r="T19">
        <v>2</v>
      </c>
      <c r="U19">
        <v>3.2</v>
      </c>
      <c r="V19">
        <v>3.9</v>
      </c>
      <c r="W19">
        <v>2.1</v>
      </c>
      <c r="X19">
        <v>3.2</v>
      </c>
      <c r="Y19">
        <v>3.8</v>
      </c>
      <c r="Z19">
        <v>2.1800000000000002</v>
      </c>
      <c r="AA19">
        <v>3.2</v>
      </c>
      <c r="AB19">
        <v>3.88</v>
      </c>
      <c r="AC19">
        <v>2.1</v>
      </c>
      <c r="AD19">
        <v>3.2</v>
      </c>
      <c r="AE19">
        <v>3.7</v>
      </c>
      <c r="AF19">
        <v>2.15</v>
      </c>
      <c r="AG19">
        <v>3.2</v>
      </c>
      <c r="AH19">
        <v>3.8</v>
      </c>
      <c r="AI19">
        <v>2.2000000000000002</v>
      </c>
      <c r="AJ19">
        <v>3.29</v>
      </c>
      <c r="AK19">
        <v>4.3</v>
      </c>
      <c r="AL19">
        <v>2.12</v>
      </c>
      <c r="AM19">
        <v>3.18</v>
      </c>
      <c r="AN19">
        <v>3.78</v>
      </c>
      <c r="AO19">
        <v>1</v>
      </c>
      <c r="AP19">
        <v>183.45923164208099</v>
      </c>
      <c r="AQ19">
        <v>122.67790565731799</v>
      </c>
      <c r="AR19">
        <v>93.862862700599706</v>
      </c>
      <c r="AS19">
        <v>400</v>
      </c>
      <c r="AT19">
        <v>3.6103096125790399</v>
      </c>
      <c r="AU19">
        <v>60.996175023330402</v>
      </c>
      <c r="AV19">
        <f t="shared" si="5"/>
        <v>930.41458948566526</v>
      </c>
      <c r="AW19">
        <f t="shared" si="6"/>
        <v>426.73286423905671</v>
      </c>
      <c r="AX19">
        <f t="shared" si="7"/>
        <v>285.35328307778872</v>
      </c>
      <c r="AY19">
        <f t="shared" si="8"/>
        <v>218.32844216881981</v>
      </c>
      <c r="AZ19" cm="1">
        <f t="array" ref="AZ19">_xlfn.IFS(E19="H",AW19*AI19-AV19,E19="D",AX19*AJ19-AV19,E19="A",AY19*AK19-AV19)</f>
        <v>8.3977118402596034</v>
      </c>
      <c r="BA19">
        <f t="shared" si="9"/>
        <v>93.620828091450221</v>
      </c>
    </row>
    <row r="20" spans="1:53" x14ac:dyDescent="0.2">
      <c r="A20">
        <v>2</v>
      </c>
      <c r="B20" t="s">
        <v>67</v>
      </c>
      <c r="C20" s="1">
        <v>43702</v>
      </c>
      <c r="D20" t="s">
        <v>107</v>
      </c>
      <c r="E20" t="s">
        <v>74</v>
      </c>
      <c r="F20" t="s">
        <v>117</v>
      </c>
      <c r="G20" t="s">
        <v>179</v>
      </c>
      <c r="H20">
        <v>42738</v>
      </c>
      <c r="I20" t="s">
        <v>119</v>
      </c>
      <c r="J20" t="s">
        <v>149</v>
      </c>
      <c r="K20" t="s">
        <v>54</v>
      </c>
      <c r="L20">
        <v>2019</v>
      </c>
      <c r="M20">
        <v>1</v>
      </c>
      <c r="N20">
        <v>1.25</v>
      </c>
      <c r="O20">
        <v>0.75</v>
      </c>
      <c r="P20">
        <v>1</v>
      </c>
      <c r="Q20">
        <v>2.4</v>
      </c>
      <c r="R20">
        <v>3.4</v>
      </c>
      <c r="S20">
        <v>2.9</v>
      </c>
      <c r="T20">
        <v>2.4</v>
      </c>
      <c r="U20">
        <v>3.5</v>
      </c>
      <c r="V20">
        <v>2.7</v>
      </c>
      <c r="W20">
        <v>2.5</v>
      </c>
      <c r="X20">
        <v>3.4</v>
      </c>
      <c r="Y20">
        <v>2.75</v>
      </c>
      <c r="Z20">
        <v>2.4900000000000002</v>
      </c>
      <c r="AA20">
        <v>3.49</v>
      </c>
      <c r="AB20">
        <v>2.93</v>
      </c>
      <c r="AC20">
        <v>2.4</v>
      </c>
      <c r="AD20">
        <v>3.5</v>
      </c>
      <c r="AE20">
        <v>2.88</v>
      </c>
      <c r="AF20">
        <v>2.4500000000000002</v>
      </c>
      <c r="AG20">
        <v>3.5</v>
      </c>
      <c r="AH20">
        <v>2.9</v>
      </c>
      <c r="AI20">
        <v>2.5</v>
      </c>
      <c r="AJ20">
        <v>3.72</v>
      </c>
      <c r="AK20">
        <v>3.05</v>
      </c>
      <c r="AL20">
        <v>2.42</v>
      </c>
      <c r="AM20">
        <v>3.46</v>
      </c>
      <c r="AN20">
        <v>2.87</v>
      </c>
      <c r="AO20">
        <v>1</v>
      </c>
      <c r="AP20">
        <v>160.53199391602701</v>
      </c>
      <c r="AQ20">
        <v>107.884404513459</v>
      </c>
      <c r="AR20">
        <v>131.583601570513</v>
      </c>
      <c r="AS20">
        <v>400</v>
      </c>
      <c r="AT20">
        <v>1.3299847900675501</v>
      </c>
      <c r="AU20">
        <v>62.326159813398</v>
      </c>
      <c r="AV20">
        <f t="shared" si="5"/>
        <v>1024.0354175771154</v>
      </c>
      <c r="AW20">
        <f t="shared" si="6"/>
        <v>410.97611856071421</v>
      </c>
      <c r="AX20">
        <f t="shared" si="7"/>
        <v>276.19362806499606</v>
      </c>
      <c r="AY20">
        <f t="shared" si="8"/>
        <v>336.86567095140509</v>
      </c>
      <c r="AZ20" cm="1">
        <f t="array" ref="AZ20">_xlfn.IFS(E20="H",AW20*AI20-AV20,E20="D",AX20*AJ20-AV20,E20="A",AY20*AK20-AV20)</f>
        <v>3.4048788246700497</v>
      </c>
      <c r="BA20">
        <f t="shared" si="9"/>
        <v>97.025706916120271</v>
      </c>
    </row>
    <row r="21" spans="1:53" x14ac:dyDescent="0.2">
      <c r="A21">
        <v>3</v>
      </c>
      <c r="B21" t="s">
        <v>67</v>
      </c>
      <c r="C21" s="1">
        <v>43702</v>
      </c>
      <c r="D21" t="s">
        <v>82</v>
      </c>
      <c r="E21" t="s">
        <v>74</v>
      </c>
      <c r="F21" t="s">
        <v>83</v>
      </c>
      <c r="G21" t="s">
        <v>69</v>
      </c>
      <c r="H21">
        <v>24951</v>
      </c>
      <c r="I21" t="s">
        <v>84</v>
      </c>
      <c r="J21" t="s">
        <v>85</v>
      </c>
      <c r="K21" t="s">
        <v>54</v>
      </c>
      <c r="L21">
        <v>2019</v>
      </c>
      <c r="M21">
        <v>0.5</v>
      </c>
      <c r="N21">
        <v>0.75</v>
      </c>
      <c r="O21">
        <v>1.75</v>
      </c>
      <c r="P21">
        <v>1.75</v>
      </c>
      <c r="Q21">
        <v>2.75</v>
      </c>
      <c r="R21">
        <v>3.1</v>
      </c>
      <c r="S21">
        <v>2.7</v>
      </c>
      <c r="T21">
        <v>2.65</v>
      </c>
      <c r="U21">
        <v>3.1</v>
      </c>
      <c r="V21">
        <v>2.7</v>
      </c>
      <c r="W21">
        <v>2.65</v>
      </c>
      <c r="X21">
        <v>3.1</v>
      </c>
      <c r="Y21">
        <v>2.8</v>
      </c>
      <c r="Z21">
        <v>2.73</v>
      </c>
      <c r="AA21">
        <v>3.16</v>
      </c>
      <c r="AB21">
        <v>2.89</v>
      </c>
      <c r="AC21">
        <v>2.62</v>
      </c>
      <c r="AD21">
        <v>3.2</v>
      </c>
      <c r="AE21">
        <v>2.75</v>
      </c>
      <c r="AF21">
        <v>2.7</v>
      </c>
      <c r="AG21">
        <v>3.13</v>
      </c>
      <c r="AH21">
        <v>2.88</v>
      </c>
      <c r="AI21">
        <v>2.85</v>
      </c>
      <c r="AJ21">
        <v>3.28</v>
      </c>
      <c r="AK21">
        <v>2.92</v>
      </c>
      <c r="AL21">
        <v>2.67</v>
      </c>
      <c r="AM21">
        <v>3.1</v>
      </c>
      <c r="AN21">
        <v>2.81</v>
      </c>
      <c r="AO21">
        <v>1</v>
      </c>
      <c r="AP21">
        <v>140.601007061172</v>
      </c>
      <c r="AQ21">
        <v>122.168557964738</v>
      </c>
      <c r="AR21">
        <v>137.23043497408901</v>
      </c>
      <c r="AS21">
        <v>400</v>
      </c>
      <c r="AT21">
        <v>0.71287012434129304</v>
      </c>
      <c r="AU21">
        <v>63.039029937739301</v>
      </c>
      <c r="AV21">
        <f t="shared" si="5"/>
        <v>1121.0611244932356</v>
      </c>
      <c r="AW21">
        <f t="shared" si="6"/>
        <v>394.05580770219814</v>
      </c>
      <c r="AX21">
        <f t="shared" si="7"/>
        <v>342.39605242416604</v>
      </c>
      <c r="AY21">
        <f t="shared" si="8"/>
        <v>384.60926436687151</v>
      </c>
      <c r="AZ21" cm="1">
        <f t="array" ref="AZ21">_xlfn.IFS(E21="H",AW21*AI21-AV21,E21="D",AX21*AJ21-AV21,E21="A",AY21*AK21-AV21)</f>
        <v>1.9979274580291531</v>
      </c>
      <c r="BA21">
        <f t="shared" si="9"/>
        <v>99.023634374149424</v>
      </c>
    </row>
    <row r="22" spans="1:53" x14ac:dyDescent="0.2">
      <c r="A22">
        <v>3</v>
      </c>
      <c r="B22" t="s">
        <v>67</v>
      </c>
      <c r="C22" s="1">
        <v>43702</v>
      </c>
      <c r="D22" t="s">
        <v>68</v>
      </c>
      <c r="E22" t="s">
        <v>49</v>
      </c>
      <c r="F22" t="s">
        <v>70</v>
      </c>
      <c r="G22" t="s">
        <v>139</v>
      </c>
      <c r="H22">
        <v>47325</v>
      </c>
      <c r="I22" t="s">
        <v>200</v>
      </c>
      <c r="J22" t="s">
        <v>210</v>
      </c>
      <c r="K22" t="s">
        <v>54</v>
      </c>
      <c r="L22">
        <v>2019</v>
      </c>
      <c r="M22">
        <v>2.5</v>
      </c>
      <c r="N22">
        <v>2.75</v>
      </c>
      <c r="O22">
        <v>0.5</v>
      </c>
      <c r="P22">
        <v>0.5</v>
      </c>
      <c r="Q22">
        <v>1.1000000000000001</v>
      </c>
      <c r="R22">
        <v>10</v>
      </c>
      <c r="S22">
        <v>21</v>
      </c>
      <c r="T22">
        <v>1.1000000000000001</v>
      </c>
      <c r="U22">
        <v>9</v>
      </c>
      <c r="V22">
        <v>21</v>
      </c>
      <c r="W22">
        <v>1.1100000000000001</v>
      </c>
      <c r="X22">
        <v>9.8000000000000007</v>
      </c>
      <c r="Y22">
        <v>21</v>
      </c>
      <c r="Z22">
        <v>1.1200000000000001</v>
      </c>
      <c r="AA22">
        <v>10.69</v>
      </c>
      <c r="AB22">
        <v>22.86</v>
      </c>
      <c r="AC22">
        <v>1.1000000000000001</v>
      </c>
      <c r="AD22">
        <v>10</v>
      </c>
      <c r="AE22">
        <v>23</v>
      </c>
      <c r="AF22">
        <v>1.06</v>
      </c>
      <c r="AG22">
        <v>11</v>
      </c>
      <c r="AH22">
        <v>41</v>
      </c>
      <c r="AI22">
        <v>1.1299999999999999</v>
      </c>
      <c r="AJ22">
        <v>11.25</v>
      </c>
      <c r="AK22">
        <v>41</v>
      </c>
      <c r="AL22">
        <v>1.1000000000000001</v>
      </c>
      <c r="AM22">
        <v>10.119999999999999</v>
      </c>
      <c r="AN22">
        <v>22.7</v>
      </c>
      <c r="AO22">
        <v>1</v>
      </c>
      <c r="AP22">
        <v>354.60822518102799</v>
      </c>
      <c r="AQ22">
        <v>35.618426173738797</v>
      </c>
      <c r="AR22">
        <v>9.7733486452332095</v>
      </c>
      <c r="AS22">
        <v>400</v>
      </c>
      <c r="AT22">
        <v>0.70729445456157602</v>
      </c>
      <c r="AU22">
        <v>63.746324392300799</v>
      </c>
      <c r="AV22">
        <f t="shared" si="5"/>
        <v>1220.0847588673851</v>
      </c>
      <c r="AW22">
        <f t="shared" si="6"/>
        <v>1081.6302272809648</v>
      </c>
      <c r="AX22">
        <f t="shared" si="7"/>
        <v>108.64374727355468</v>
      </c>
      <c r="AY22">
        <f t="shared" si="8"/>
        <v>29.810784312865614</v>
      </c>
      <c r="AZ22" cm="1">
        <f t="array" ref="AZ22">_xlfn.IFS(E22="H",AW22*AI22-AV22,E22="D",AX22*AJ22-AV22,E22="A",AY22*AK22-AV22)</f>
        <v>2.1573979601050723</v>
      </c>
      <c r="BA22">
        <f t="shared" si="9"/>
        <v>101.1810323342545</v>
      </c>
    </row>
    <row r="23" spans="1:53" x14ac:dyDescent="0.2">
      <c r="A23">
        <v>3</v>
      </c>
      <c r="B23" t="s">
        <v>55</v>
      </c>
      <c r="C23" s="1">
        <v>43708</v>
      </c>
      <c r="D23" t="s">
        <v>73</v>
      </c>
      <c r="E23" t="s">
        <v>49</v>
      </c>
      <c r="F23" t="s">
        <v>146</v>
      </c>
      <c r="G23" t="s">
        <v>75</v>
      </c>
      <c r="H23">
        <v>75000</v>
      </c>
      <c r="I23" t="s">
        <v>148</v>
      </c>
      <c r="J23" t="s">
        <v>225</v>
      </c>
      <c r="K23" t="s">
        <v>54</v>
      </c>
      <c r="L23">
        <v>2019</v>
      </c>
      <c r="M23">
        <v>2.5</v>
      </c>
      <c r="N23">
        <v>2.75</v>
      </c>
      <c r="O23">
        <v>0.75</v>
      </c>
      <c r="P23">
        <v>0.75</v>
      </c>
      <c r="Q23">
        <v>1.08</v>
      </c>
      <c r="R23">
        <v>11</v>
      </c>
      <c r="S23">
        <v>26</v>
      </c>
      <c r="T23">
        <v>1.0900000000000001</v>
      </c>
      <c r="U23">
        <v>10.5</v>
      </c>
      <c r="V23">
        <v>26</v>
      </c>
      <c r="W23">
        <v>1.1200000000000001</v>
      </c>
      <c r="X23">
        <v>9</v>
      </c>
      <c r="Y23">
        <v>20</v>
      </c>
      <c r="Z23">
        <v>1.1000000000000001</v>
      </c>
      <c r="AA23">
        <v>11.84</v>
      </c>
      <c r="AB23">
        <v>28.11</v>
      </c>
      <c r="AC23">
        <v>1.07</v>
      </c>
      <c r="AD23">
        <v>11</v>
      </c>
      <c r="AE23">
        <v>34</v>
      </c>
      <c r="AF23">
        <v>1.06</v>
      </c>
      <c r="AG23">
        <v>12</v>
      </c>
      <c r="AH23">
        <v>36</v>
      </c>
      <c r="AI23">
        <v>1.1200000000000001</v>
      </c>
      <c r="AJ23">
        <v>12.75</v>
      </c>
      <c r="AK23">
        <v>38</v>
      </c>
      <c r="AL23">
        <v>1.0900000000000001</v>
      </c>
      <c r="AM23">
        <v>11.05</v>
      </c>
      <c r="AN23">
        <v>28.84</v>
      </c>
      <c r="AO23">
        <v>1</v>
      </c>
      <c r="AP23">
        <v>358.000517235009</v>
      </c>
      <c r="AQ23">
        <v>31.4478885728008</v>
      </c>
      <c r="AR23">
        <v>10.5515941921897</v>
      </c>
      <c r="AS23">
        <v>400</v>
      </c>
      <c r="AT23">
        <v>0.96057930321057905</v>
      </c>
      <c r="AU23">
        <v>64.7069036955114</v>
      </c>
      <c r="AV23">
        <f t="shared" si="5"/>
        <v>1321.2657912016396</v>
      </c>
      <c r="AW23">
        <f t="shared" si="6"/>
        <v>1182.5345916377773</v>
      </c>
      <c r="AX23">
        <f t="shared" si="7"/>
        <v>103.87754844190671</v>
      </c>
      <c r="AY23">
        <f t="shared" si="8"/>
        <v>34.853651121955551</v>
      </c>
      <c r="AZ23" cm="1">
        <f t="array" ref="AZ23">_xlfn.IFS(E23="H",AW23*AI23-AV23,E23="D",AX23*AJ23-AV23,E23="A",AY23*AK23-AV23)</f>
        <v>3.1729514326711978</v>
      </c>
      <c r="BA23">
        <f t="shared" si="9"/>
        <v>104.35398376692569</v>
      </c>
    </row>
    <row r="24" spans="1:53" x14ac:dyDescent="0.2">
      <c r="A24">
        <v>3</v>
      </c>
      <c r="B24" t="s">
        <v>55</v>
      </c>
      <c r="C24" s="1">
        <v>43708</v>
      </c>
      <c r="D24" t="s">
        <v>82</v>
      </c>
      <c r="E24" t="s">
        <v>57</v>
      </c>
      <c r="F24" t="s">
        <v>86</v>
      </c>
      <c r="G24" t="s">
        <v>87</v>
      </c>
      <c r="H24">
        <v>16742</v>
      </c>
      <c r="I24" t="s">
        <v>88</v>
      </c>
      <c r="J24" t="s">
        <v>89</v>
      </c>
      <c r="K24" t="s">
        <v>54</v>
      </c>
      <c r="L24">
        <v>2019</v>
      </c>
      <c r="M24">
        <v>1</v>
      </c>
      <c r="N24">
        <v>0</v>
      </c>
      <c r="O24">
        <v>1</v>
      </c>
      <c r="P24">
        <v>1</v>
      </c>
      <c r="Q24">
        <v>10</v>
      </c>
      <c r="R24">
        <v>5</v>
      </c>
      <c r="S24">
        <v>1.33</v>
      </c>
      <c r="T24">
        <v>10</v>
      </c>
      <c r="U24">
        <v>4.75</v>
      </c>
      <c r="V24">
        <v>1.35</v>
      </c>
      <c r="W24">
        <v>9.6</v>
      </c>
      <c r="X24">
        <v>5.5</v>
      </c>
      <c r="Y24">
        <v>1.3</v>
      </c>
      <c r="Z24">
        <v>9.99</v>
      </c>
      <c r="AA24">
        <v>4.92</v>
      </c>
      <c r="AB24">
        <v>1.37</v>
      </c>
      <c r="AC24">
        <v>9.5</v>
      </c>
      <c r="AD24">
        <v>4.75</v>
      </c>
      <c r="AE24">
        <v>1.36</v>
      </c>
      <c r="AF24">
        <v>10</v>
      </c>
      <c r="AG24">
        <v>4.8</v>
      </c>
      <c r="AH24">
        <v>1.4</v>
      </c>
      <c r="AI24">
        <v>10.5</v>
      </c>
      <c r="AJ24">
        <v>5.5</v>
      </c>
      <c r="AK24">
        <v>1.4</v>
      </c>
      <c r="AL24">
        <v>9.52</v>
      </c>
      <c r="AM24">
        <v>4.8600000000000003</v>
      </c>
      <c r="AN24">
        <v>1.36</v>
      </c>
      <c r="AO24">
        <v>1</v>
      </c>
      <c r="AP24">
        <v>38.427947598253198</v>
      </c>
      <c r="AQ24">
        <v>73.362445414847102</v>
      </c>
      <c r="AR24">
        <v>288.20960698689902</v>
      </c>
      <c r="AS24">
        <v>400</v>
      </c>
      <c r="AT24">
        <v>3.4934497816593599</v>
      </c>
      <c r="AU24">
        <v>68.200353477170793</v>
      </c>
      <c r="AV24">
        <f t="shared" si="5"/>
        <v>1425.6197749685653</v>
      </c>
      <c r="AW24">
        <f t="shared" si="6"/>
        <v>136.95910501881411</v>
      </c>
      <c r="AX24">
        <f t="shared" si="7"/>
        <v>261.46738230864514</v>
      </c>
      <c r="AY24">
        <f t="shared" si="8"/>
        <v>1027.1932876411061</v>
      </c>
      <c r="AZ24" cm="1">
        <f t="array" ref="AZ24">_xlfn.IFS(E24="H",AW24*AI24-AV24,E24="D",AX24*AJ24-AV24,E24="A",AY24*AK24-AV24)</f>
        <v>12.450827728983086</v>
      </c>
      <c r="BA24">
        <f t="shared" si="9"/>
        <v>116.80481149590878</v>
      </c>
    </row>
    <row r="25" spans="1:53" x14ac:dyDescent="0.2">
      <c r="A25">
        <v>4</v>
      </c>
      <c r="B25" t="s">
        <v>55</v>
      </c>
      <c r="C25" s="1">
        <v>43708</v>
      </c>
      <c r="D25" t="s">
        <v>90</v>
      </c>
      <c r="E25" t="s">
        <v>57</v>
      </c>
      <c r="F25" t="s">
        <v>91</v>
      </c>
      <c r="G25" t="s">
        <v>92</v>
      </c>
      <c r="H25">
        <v>40560</v>
      </c>
      <c r="I25" t="s">
        <v>93</v>
      </c>
      <c r="J25" t="s">
        <v>94</v>
      </c>
      <c r="K25" t="s">
        <v>54</v>
      </c>
      <c r="L25">
        <v>2019</v>
      </c>
      <c r="M25">
        <v>2</v>
      </c>
      <c r="N25">
        <v>2</v>
      </c>
      <c r="O25">
        <v>1</v>
      </c>
      <c r="P25">
        <v>1</v>
      </c>
      <c r="Q25">
        <v>1.36</v>
      </c>
      <c r="R25">
        <v>4.75</v>
      </c>
      <c r="S25">
        <v>9</v>
      </c>
      <c r="T25">
        <v>1.34</v>
      </c>
      <c r="U25">
        <v>5</v>
      </c>
      <c r="V25">
        <v>9.5</v>
      </c>
      <c r="W25">
        <v>1.35</v>
      </c>
      <c r="X25">
        <v>5.3</v>
      </c>
      <c r="Y25">
        <v>8</v>
      </c>
      <c r="Z25">
        <v>1.36</v>
      </c>
      <c r="AA25">
        <v>5.12</v>
      </c>
      <c r="AB25">
        <v>10.23</v>
      </c>
      <c r="AC25">
        <v>1.35</v>
      </c>
      <c r="AD25">
        <v>4.8</v>
      </c>
      <c r="AE25">
        <v>9</v>
      </c>
      <c r="AF25">
        <v>1.4</v>
      </c>
      <c r="AG25">
        <v>5</v>
      </c>
      <c r="AH25">
        <v>10</v>
      </c>
      <c r="AI25">
        <v>1.4</v>
      </c>
      <c r="AJ25">
        <v>5.3</v>
      </c>
      <c r="AK25">
        <v>10.75</v>
      </c>
      <c r="AL25">
        <v>1.36</v>
      </c>
      <c r="AM25">
        <v>4.9800000000000004</v>
      </c>
      <c r="AN25">
        <v>9.5299999999999994</v>
      </c>
      <c r="AO25">
        <v>1</v>
      </c>
      <c r="AP25">
        <v>286.86512681729499</v>
      </c>
      <c r="AQ25">
        <v>75.775693876266502</v>
      </c>
      <c r="AR25">
        <v>37.359179306438399</v>
      </c>
      <c r="AS25">
        <v>400</v>
      </c>
      <c r="AT25">
        <v>1.6111775442129199</v>
      </c>
      <c r="AU25">
        <v>69.811531021383701</v>
      </c>
      <c r="AV25">
        <f t="shared" si="5"/>
        <v>1542.424586464474</v>
      </c>
      <c r="AW25">
        <f t="shared" si="6"/>
        <v>1106.1695615056128</v>
      </c>
      <c r="AX25">
        <f t="shared" si="7"/>
        <v>292.19573322789768</v>
      </c>
      <c r="AY25">
        <f t="shared" si="8"/>
        <v>144.05929173096351</v>
      </c>
      <c r="AZ25" cm="1">
        <f t="array" ref="AZ25">_xlfn.IFS(E25="H",AW25*AI25-AV25,E25="D",AX25*AJ25-AV25,E25="A",AY25*AK25-AV25)</f>
        <v>6.2127996433835051</v>
      </c>
      <c r="BA25">
        <f t="shared" si="9"/>
        <v>123.01761113929228</v>
      </c>
    </row>
    <row r="26" spans="1:53" x14ac:dyDescent="0.2">
      <c r="A26">
        <v>4</v>
      </c>
      <c r="B26" t="s">
        <v>55</v>
      </c>
      <c r="C26" s="1">
        <v>43708</v>
      </c>
      <c r="D26" t="s">
        <v>99</v>
      </c>
      <c r="E26" t="s">
        <v>74</v>
      </c>
      <c r="F26" t="s">
        <v>173</v>
      </c>
      <c r="G26" t="s">
        <v>157</v>
      </c>
      <c r="H26">
        <v>21762</v>
      </c>
      <c r="I26" t="s">
        <v>206</v>
      </c>
      <c r="J26" t="s">
        <v>142</v>
      </c>
      <c r="K26" t="s">
        <v>54</v>
      </c>
      <c r="L26">
        <v>2019</v>
      </c>
      <c r="M26">
        <v>1.5</v>
      </c>
      <c r="N26">
        <v>1.5</v>
      </c>
      <c r="O26">
        <v>3</v>
      </c>
      <c r="P26">
        <v>2.5</v>
      </c>
      <c r="Q26">
        <v>9.5</v>
      </c>
      <c r="R26">
        <v>5.5</v>
      </c>
      <c r="S26">
        <v>1.3</v>
      </c>
      <c r="T26">
        <v>9.75</v>
      </c>
      <c r="U26">
        <v>5.5</v>
      </c>
      <c r="V26">
        <v>1.3</v>
      </c>
      <c r="W26">
        <v>8.4</v>
      </c>
      <c r="X26">
        <v>5.5</v>
      </c>
      <c r="Y26">
        <v>1.33</v>
      </c>
      <c r="Z26">
        <v>10.24</v>
      </c>
      <c r="AA26">
        <v>5.37</v>
      </c>
      <c r="AB26">
        <v>1.34</v>
      </c>
      <c r="AC26">
        <v>10</v>
      </c>
      <c r="AD26">
        <v>5.25</v>
      </c>
      <c r="AE26">
        <v>1.32</v>
      </c>
      <c r="AF26">
        <v>11</v>
      </c>
      <c r="AG26">
        <v>5.5</v>
      </c>
      <c r="AH26">
        <v>1.33</v>
      </c>
      <c r="AI26">
        <v>11</v>
      </c>
      <c r="AJ26">
        <v>5.7</v>
      </c>
      <c r="AK26">
        <v>1.37</v>
      </c>
      <c r="AL26">
        <v>9.4499999999999993</v>
      </c>
      <c r="AM26">
        <v>5.43</v>
      </c>
      <c r="AN26">
        <v>1.33</v>
      </c>
      <c r="AO26">
        <v>1</v>
      </c>
      <c r="AP26">
        <v>36.499608548826203</v>
      </c>
      <c r="AQ26">
        <v>70.437841059138293</v>
      </c>
      <c r="AR26">
        <v>293.06255039203501</v>
      </c>
      <c r="AS26">
        <v>400</v>
      </c>
      <c r="AT26">
        <v>1.4956940370885199</v>
      </c>
      <c r="AU26">
        <v>71.307225058472198</v>
      </c>
      <c r="AV26">
        <f t="shared" si="5"/>
        <v>1665.4421976037663</v>
      </c>
      <c r="AW26">
        <f t="shared" si="6"/>
        <v>151.96997068308593</v>
      </c>
      <c r="AX26">
        <f t="shared" si="7"/>
        <v>293.27538201999045</v>
      </c>
      <c r="AY26">
        <f t="shared" si="8"/>
        <v>1220.1968449006899</v>
      </c>
      <c r="AZ26" cm="1">
        <f t="array" ref="AZ26">_xlfn.IFS(E26="H",AW26*AI26-AV26,E26="D",AX26*AJ26-AV26,E26="A",AY26*AK26-AV26)</f>
        <v>6.2274799101789995</v>
      </c>
      <c r="BA26">
        <f t="shared" si="9"/>
        <v>129.24509104947128</v>
      </c>
    </row>
    <row r="27" spans="1:53" x14ac:dyDescent="0.2">
      <c r="A27">
        <v>4</v>
      </c>
      <c r="B27" t="s">
        <v>55</v>
      </c>
      <c r="C27" s="1">
        <v>43708</v>
      </c>
      <c r="D27" t="s">
        <v>62</v>
      </c>
      <c r="E27" t="s">
        <v>49</v>
      </c>
      <c r="F27" t="s">
        <v>139</v>
      </c>
      <c r="G27" t="s">
        <v>226</v>
      </c>
      <c r="H27">
        <v>10184</v>
      </c>
      <c r="I27" t="s">
        <v>140</v>
      </c>
      <c r="J27" t="s">
        <v>213</v>
      </c>
      <c r="K27" t="s">
        <v>54</v>
      </c>
      <c r="L27">
        <v>2019</v>
      </c>
      <c r="M27">
        <v>1.25</v>
      </c>
      <c r="N27">
        <v>1.25</v>
      </c>
      <c r="O27">
        <v>0.25</v>
      </c>
      <c r="P27">
        <v>1</v>
      </c>
      <c r="Q27">
        <v>2.0499999999999998</v>
      </c>
      <c r="R27">
        <v>3</v>
      </c>
      <c r="S27">
        <v>4.2</v>
      </c>
      <c r="T27">
        <v>2.15</v>
      </c>
      <c r="U27">
        <v>3.1</v>
      </c>
      <c r="V27">
        <v>3.8</v>
      </c>
      <c r="W27">
        <v>2.15</v>
      </c>
      <c r="X27">
        <v>3.1</v>
      </c>
      <c r="Y27">
        <v>3.75</v>
      </c>
      <c r="Z27">
        <v>2.17</v>
      </c>
      <c r="AA27">
        <v>3.22</v>
      </c>
      <c r="AB27">
        <v>3.87</v>
      </c>
      <c r="AC27">
        <v>2.1</v>
      </c>
      <c r="AD27">
        <v>3.2</v>
      </c>
      <c r="AE27">
        <v>3.7</v>
      </c>
      <c r="AF27">
        <v>2.15</v>
      </c>
      <c r="AG27">
        <v>3.2</v>
      </c>
      <c r="AH27">
        <v>3.8</v>
      </c>
      <c r="AI27">
        <v>2.2000000000000002</v>
      </c>
      <c r="AJ27">
        <v>3.3</v>
      </c>
      <c r="AK27">
        <v>4.2</v>
      </c>
      <c r="AL27">
        <v>2.14</v>
      </c>
      <c r="AM27">
        <v>3.15</v>
      </c>
      <c r="AN27">
        <v>3.75</v>
      </c>
      <c r="AO27">
        <v>1</v>
      </c>
      <c r="AP27">
        <v>182.608695652173</v>
      </c>
      <c r="AQ27">
        <v>121.739130434782</v>
      </c>
      <c r="AR27">
        <v>95.652173913043399</v>
      </c>
      <c r="AS27">
        <v>400</v>
      </c>
      <c r="AT27">
        <v>1.73913043478262</v>
      </c>
      <c r="AU27">
        <v>73.046355493254893</v>
      </c>
      <c r="AV27">
        <f t="shared" si="5"/>
        <v>1794.6872886532376</v>
      </c>
      <c r="AW27">
        <f t="shared" si="6"/>
        <v>819.31376221126061</v>
      </c>
      <c r="AX27">
        <f t="shared" si="7"/>
        <v>546.20917480750711</v>
      </c>
      <c r="AY27">
        <f t="shared" si="8"/>
        <v>429.16435163446988</v>
      </c>
      <c r="AZ27" cm="1">
        <f t="array" ref="AZ27">_xlfn.IFS(E27="H",AW27*AI27-AV27,E27="D",AX27*AJ27-AV27,E27="A",AY27*AK27-AV27)</f>
        <v>7.802988211535876</v>
      </c>
      <c r="BA27">
        <f t="shared" si="9"/>
        <v>137.04807926100716</v>
      </c>
    </row>
    <row r="28" spans="1:53" x14ac:dyDescent="0.2">
      <c r="A28">
        <v>4</v>
      </c>
      <c r="B28" t="s">
        <v>55</v>
      </c>
      <c r="C28" s="1">
        <v>43708</v>
      </c>
      <c r="D28" t="s">
        <v>62</v>
      </c>
      <c r="E28" t="s">
        <v>49</v>
      </c>
      <c r="F28" t="s">
        <v>95</v>
      </c>
      <c r="G28" t="s">
        <v>96</v>
      </c>
      <c r="H28">
        <v>12488</v>
      </c>
      <c r="I28" t="s">
        <v>97</v>
      </c>
      <c r="J28" t="s">
        <v>98</v>
      </c>
      <c r="K28" t="s">
        <v>54</v>
      </c>
      <c r="L28">
        <v>2019</v>
      </c>
      <c r="M28">
        <v>1.5</v>
      </c>
      <c r="N28">
        <v>1.5</v>
      </c>
      <c r="O28">
        <v>1</v>
      </c>
      <c r="P28">
        <v>1</v>
      </c>
      <c r="Q28">
        <v>2</v>
      </c>
      <c r="R28">
        <v>3.25</v>
      </c>
      <c r="S28">
        <v>4.2</v>
      </c>
      <c r="T28">
        <v>2.0499999999999998</v>
      </c>
      <c r="U28">
        <v>3.3</v>
      </c>
      <c r="V28">
        <v>3.8</v>
      </c>
      <c r="W28">
        <v>2.0499999999999998</v>
      </c>
      <c r="X28">
        <v>3.3</v>
      </c>
      <c r="Y28">
        <v>3.7</v>
      </c>
      <c r="Z28">
        <v>2.11</v>
      </c>
      <c r="AA28">
        <v>3.41</v>
      </c>
      <c r="AB28">
        <v>3.82</v>
      </c>
      <c r="AC28">
        <v>2.0499999999999998</v>
      </c>
      <c r="AD28">
        <v>3.3</v>
      </c>
      <c r="AE28">
        <v>3.7</v>
      </c>
      <c r="AF28">
        <v>2.1</v>
      </c>
      <c r="AG28">
        <v>3.4</v>
      </c>
      <c r="AH28">
        <v>3.7</v>
      </c>
      <c r="AI28">
        <v>2.16</v>
      </c>
      <c r="AJ28">
        <v>3.46</v>
      </c>
      <c r="AK28">
        <v>4.2</v>
      </c>
      <c r="AL28">
        <v>2.08</v>
      </c>
      <c r="AM28">
        <v>3.32</v>
      </c>
      <c r="AN28">
        <v>3.71</v>
      </c>
      <c r="AO28">
        <v>1</v>
      </c>
      <c r="AP28">
        <v>187.04147038381299</v>
      </c>
      <c r="AQ28">
        <v>116.765773418796</v>
      </c>
      <c r="AR28">
        <v>96.192756197389699</v>
      </c>
      <c r="AS28">
        <v>400</v>
      </c>
      <c r="AT28">
        <v>4.0095760290370697</v>
      </c>
      <c r="AU28">
        <v>77.0559315222919</v>
      </c>
      <c r="AV28">
        <f t="shared" si="5"/>
        <v>1931.7353679142448</v>
      </c>
      <c r="AW28">
        <f t="shared" si="6"/>
        <v>903.28655901774289</v>
      </c>
      <c r="AX28">
        <f t="shared" si="7"/>
        <v>563.90143568737699</v>
      </c>
      <c r="AY28">
        <f t="shared" si="8"/>
        <v>464.54737320912488</v>
      </c>
      <c r="AZ28" cm="1">
        <f t="array" ref="AZ28">_xlfn.IFS(E28="H",AW28*AI28-AV28,E28="D",AX28*AJ28-AV28,E28="A",AY28*AK28-AV28)</f>
        <v>19.363599564080005</v>
      </c>
      <c r="BA28">
        <f t="shared" si="9"/>
        <v>156.41167882508717</v>
      </c>
    </row>
    <row r="29" spans="1:53" x14ac:dyDescent="0.2">
      <c r="A29">
        <v>2</v>
      </c>
      <c r="B29" t="s">
        <v>67</v>
      </c>
      <c r="C29" s="1">
        <v>43709</v>
      </c>
      <c r="D29" t="s">
        <v>48</v>
      </c>
      <c r="E29" t="s">
        <v>74</v>
      </c>
      <c r="F29" t="s">
        <v>150</v>
      </c>
      <c r="G29" t="s">
        <v>209</v>
      </c>
      <c r="H29">
        <v>8182</v>
      </c>
      <c r="I29" t="s">
        <v>144</v>
      </c>
      <c r="J29" t="s">
        <v>151</v>
      </c>
      <c r="K29" t="s">
        <v>54</v>
      </c>
      <c r="L29">
        <v>2019</v>
      </c>
      <c r="M29">
        <v>2.5</v>
      </c>
      <c r="N29">
        <v>1.75</v>
      </c>
      <c r="O29">
        <v>1.25</v>
      </c>
      <c r="P29">
        <v>0.75</v>
      </c>
      <c r="Q29">
        <v>1.57</v>
      </c>
      <c r="R29">
        <v>4</v>
      </c>
      <c r="S29">
        <v>5.75</v>
      </c>
      <c r="T29">
        <v>1.6</v>
      </c>
      <c r="U29">
        <v>4</v>
      </c>
      <c r="V29">
        <v>5.75</v>
      </c>
      <c r="W29">
        <v>1.6</v>
      </c>
      <c r="X29">
        <v>4.05</v>
      </c>
      <c r="Y29">
        <v>5.4</v>
      </c>
      <c r="Z29">
        <v>1.63</v>
      </c>
      <c r="AA29">
        <v>4.29</v>
      </c>
      <c r="AB29">
        <v>5.41</v>
      </c>
      <c r="AC29">
        <v>1.57</v>
      </c>
      <c r="AD29">
        <v>4</v>
      </c>
      <c r="AE29">
        <v>5.8</v>
      </c>
      <c r="AF29">
        <v>1.57</v>
      </c>
      <c r="AG29">
        <v>4.0999999999999996</v>
      </c>
      <c r="AH29">
        <v>6.25</v>
      </c>
      <c r="AI29">
        <v>1.66</v>
      </c>
      <c r="AJ29">
        <v>4.29</v>
      </c>
      <c r="AK29">
        <v>6.25</v>
      </c>
      <c r="AL29">
        <v>1.61</v>
      </c>
      <c r="AM29">
        <v>4.08</v>
      </c>
      <c r="AN29">
        <v>5.54</v>
      </c>
      <c r="AO29">
        <v>1</v>
      </c>
      <c r="AP29">
        <v>242.05069410434399</v>
      </c>
      <c r="AQ29">
        <v>93.660641541541295</v>
      </c>
      <c r="AR29">
        <v>64.288664354113905</v>
      </c>
      <c r="AS29">
        <v>400</v>
      </c>
      <c r="AT29">
        <v>1.80415221321226</v>
      </c>
      <c r="AU29">
        <v>78.860083735504205</v>
      </c>
      <c r="AV29">
        <f t="shared" si="5"/>
        <v>2088.1470467393319</v>
      </c>
      <c r="AW29">
        <f t="shared" si="6"/>
        <v>1263.5936051379822</v>
      </c>
      <c r="AX29">
        <f t="shared" si="7"/>
        <v>488.9429800767017</v>
      </c>
      <c r="AY29">
        <f t="shared" si="8"/>
        <v>335.61046152464809</v>
      </c>
      <c r="AZ29" cm="1">
        <f t="array" ref="AZ29">_xlfn.IFS(E29="H",AW29*AI29-AV29,E29="D",AX29*AJ29-AV29,E29="A",AY29*AK29-AV29)</f>
        <v>9.4183377897184073</v>
      </c>
      <c r="BA29">
        <f t="shared" si="9"/>
        <v>165.83001661480557</v>
      </c>
    </row>
    <row r="30" spans="1:53" x14ac:dyDescent="0.2">
      <c r="A30">
        <v>3</v>
      </c>
      <c r="B30" t="s">
        <v>67</v>
      </c>
      <c r="C30" s="1">
        <v>43709</v>
      </c>
      <c r="D30" t="s">
        <v>214</v>
      </c>
      <c r="E30" t="s">
        <v>74</v>
      </c>
      <c r="F30" t="s">
        <v>114</v>
      </c>
      <c r="G30" t="s">
        <v>187</v>
      </c>
      <c r="H30">
        <v>20870</v>
      </c>
      <c r="I30" t="s">
        <v>218</v>
      </c>
      <c r="J30" t="s">
        <v>203</v>
      </c>
      <c r="K30" t="s">
        <v>54</v>
      </c>
      <c r="L30">
        <v>2019</v>
      </c>
      <c r="M30">
        <v>1.75</v>
      </c>
      <c r="N30">
        <v>1.5</v>
      </c>
      <c r="O30">
        <v>1</v>
      </c>
      <c r="P30">
        <v>4</v>
      </c>
      <c r="Q30">
        <v>2.0499999999999998</v>
      </c>
      <c r="R30">
        <v>3.3</v>
      </c>
      <c r="S30">
        <v>4</v>
      </c>
      <c r="T30">
        <v>2.1</v>
      </c>
      <c r="U30">
        <v>3.2</v>
      </c>
      <c r="V30">
        <v>3.9</v>
      </c>
      <c r="W30">
        <v>1.95</v>
      </c>
      <c r="X30">
        <v>3.4</v>
      </c>
      <c r="Y30">
        <v>4.0999999999999996</v>
      </c>
      <c r="Z30">
        <v>2.13</v>
      </c>
      <c r="AA30">
        <v>3.19</v>
      </c>
      <c r="AB30">
        <v>4.03</v>
      </c>
      <c r="AC30">
        <v>2.1</v>
      </c>
      <c r="AD30">
        <v>3.2</v>
      </c>
      <c r="AE30">
        <v>3.8</v>
      </c>
      <c r="AF30">
        <v>2.1</v>
      </c>
      <c r="AG30">
        <v>3.3</v>
      </c>
      <c r="AH30">
        <v>3.7</v>
      </c>
      <c r="AI30">
        <v>2.1800000000000002</v>
      </c>
      <c r="AJ30">
        <v>3.4</v>
      </c>
      <c r="AK30">
        <v>4.2</v>
      </c>
      <c r="AL30">
        <v>2.1</v>
      </c>
      <c r="AM30">
        <v>3.2</v>
      </c>
      <c r="AN30">
        <v>3.92</v>
      </c>
      <c r="AO30">
        <v>1</v>
      </c>
      <c r="AP30">
        <v>185.16597510373401</v>
      </c>
      <c r="AQ30">
        <v>118.724066390041</v>
      </c>
      <c r="AR30">
        <v>96.109958506224004</v>
      </c>
      <c r="AS30">
        <v>400</v>
      </c>
      <c r="AT30">
        <v>3.66182572614116</v>
      </c>
      <c r="AU30">
        <v>82.521909461645393</v>
      </c>
      <c r="AV30">
        <f t="shared" si="5"/>
        <v>2253.9770633541375</v>
      </c>
      <c r="AW30">
        <f t="shared" si="6"/>
        <v>1043.3996519935517</v>
      </c>
      <c r="AX30">
        <f t="shared" si="7"/>
        <v>669.00330627821847</v>
      </c>
      <c r="AY30">
        <f t="shared" si="8"/>
        <v>541.5741050823674</v>
      </c>
      <c r="AZ30" cm="1">
        <f t="array" ref="AZ30">_xlfn.IFS(E30="H",AW30*AI30-AV30,E30="D",AX30*AJ30-AV30,E30="A",AY30*AK30-AV30)</f>
        <v>20.6341779918057</v>
      </c>
      <c r="BA30">
        <f t="shared" si="9"/>
        <v>186.46419460661127</v>
      </c>
    </row>
    <row r="31" spans="1:53" x14ac:dyDescent="0.2">
      <c r="A31">
        <v>4</v>
      </c>
      <c r="B31" t="s">
        <v>47</v>
      </c>
      <c r="C31" s="1">
        <v>43721</v>
      </c>
      <c r="D31" t="s">
        <v>68</v>
      </c>
      <c r="E31" t="s">
        <v>57</v>
      </c>
      <c r="F31" t="s">
        <v>180</v>
      </c>
      <c r="G31" t="s">
        <v>193</v>
      </c>
      <c r="H31">
        <v>16390</v>
      </c>
      <c r="I31" t="s">
        <v>181</v>
      </c>
      <c r="J31" t="s">
        <v>217</v>
      </c>
      <c r="K31" t="s">
        <v>54</v>
      </c>
      <c r="L31">
        <v>2019</v>
      </c>
      <c r="M31">
        <v>1.5</v>
      </c>
      <c r="N31">
        <v>1</v>
      </c>
      <c r="O31">
        <v>1</v>
      </c>
      <c r="P31">
        <v>0.5</v>
      </c>
      <c r="Q31">
        <v>3.4</v>
      </c>
      <c r="R31">
        <v>3.1</v>
      </c>
      <c r="S31">
        <v>2.2999999999999998</v>
      </c>
      <c r="T31">
        <v>3.5</v>
      </c>
      <c r="U31">
        <v>3.1</v>
      </c>
      <c r="V31">
        <v>2.25</v>
      </c>
      <c r="W31">
        <v>3.65</v>
      </c>
      <c r="X31">
        <v>3</v>
      </c>
      <c r="Y31">
        <v>2.25</v>
      </c>
      <c r="Z31">
        <v>3.74</v>
      </c>
      <c r="AA31">
        <v>3.02</v>
      </c>
      <c r="AB31">
        <v>2.3199999999999998</v>
      </c>
      <c r="AC31">
        <v>3.7</v>
      </c>
      <c r="AD31">
        <v>3</v>
      </c>
      <c r="AE31">
        <v>2.25</v>
      </c>
      <c r="AF31">
        <v>3.7</v>
      </c>
      <c r="AG31">
        <v>3.1</v>
      </c>
      <c r="AH31">
        <v>2.25</v>
      </c>
      <c r="AI31">
        <v>3.85</v>
      </c>
      <c r="AJ31">
        <v>3.1</v>
      </c>
      <c r="AK31">
        <v>2.4</v>
      </c>
      <c r="AL31">
        <v>3.65</v>
      </c>
      <c r="AM31">
        <v>3.02</v>
      </c>
      <c r="AN31">
        <v>2.2799999999999998</v>
      </c>
      <c r="AO31">
        <v>1</v>
      </c>
      <c r="AP31">
        <v>104.00139786825</v>
      </c>
      <c r="AQ31">
        <v>129.16302638476299</v>
      </c>
      <c r="AR31">
        <v>166.835575746985</v>
      </c>
      <c r="AS31">
        <v>400</v>
      </c>
      <c r="AT31">
        <v>0.40538179276597902</v>
      </c>
      <c r="AU31">
        <v>82.927291254411301</v>
      </c>
      <c r="AV31">
        <f t="shared" si="5"/>
        <v>2440.4412579607488</v>
      </c>
      <c r="AW31">
        <f t="shared" si="6"/>
        <v>634.52325560817644</v>
      </c>
      <c r="AX31">
        <f t="shared" si="7"/>
        <v>788.0369464811223</v>
      </c>
      <c r="AY31">
        <f t="shared" si="8"/>
        <v>1017.8810558714498</v>
      </c>
      <c r="AZ31" cm="1">
        <f t="array" ref="AZ31">_xlfn.IFS(E31="H",AW31*AI31-AV31,E31="D",AX31*AJ31-AV31,E31="A",AY31*AK31-AV31)</f>
        <v>2.4732761307304827</v>
      </c>
      <c r="BA31">
        <f t="shared" si="9"/>
        <v>188.93747073734176</v>
      </c>
    </row>
    <row r="32" spans="1:53" x14ac:dyDescent="0.2">
      <c r="A32">
        <v>5</v>
      </c>
      <c r="B32" t="s">
        <v>47</v>
      </c>
      <c r="C32" s="1">
        <v>43721</v>
      </c>
      <c r="D32" t="s">
        <v>48</v>
      </c>
      <c r="E32" t="s">
        <v>57</v>
      </c>
      <c r="F32" t="s">
        <v>226</v>
      </c>
      <c r="G32" t="s">
        <v>50</v>
      </c>
      <c r="H32">
        <v>12577</v>
      </c>
      <c r="I32" t="s">
        <v>227</v>
      </c>
      <c r="J32" t="s">
        <v>61</v>
      </c>
      <c r="K32" t="s">
        <v>54</v>
      </c>
      <c r="L32">
        <v>2019</v>
      </c>
      <c r="M32">
        <v>1.75</v>
      </c>
      <c r="N32">
        <v>1</v>
      </c>
      <c r="O32">
        <v>2.25</v>
      </c>
      <c r="P32">
        <v>2.25</v>
      </c>
      <c r="Q32">
        <v>5</v>
      </c>
      <c r="R32">
        <v>3.75</v>
      </c>
      <c r="S32">
        <v>1.72</v>
      </c>
      <c r="T32">
        <v>5</v>
      </c>
      <c r="U32">
        <v>3.75</v>
      </c>
      <c r="V32">
        <v>1.72</v>
      </c>
      <c r="W32">
        <v>4.5</v>
      </c>
      <c r="X32">
        <v>3.6</v>
      </c>
      <c r="Y32">
        <v>1.8</v>
      </c>
      <c r="Z32">
        <v>5.18</v>
      </c>
      <c r="AA32">
        <v>3.77</v>
      </c>
      <c r="AB32">
        <v>1.75</v>
      </c>
      <c r="AC32">
        <v>5.25</v>
      </c>
      <c r="AD32">
        <v>3.7</v>
      </c>
      <c r="AE32">
        <v>1.67</v>
      </c>
      <c r="AF32">
        <v>5.4</v>
      </c>
      <c r="AG32">
        <v>3.75</v>
      </c>
      <c r="AH32">
        <v>1.65</v>
      </c>
      <c r="AI32">
        <v>5.45</v>
      </c>
      <c r="AJ32">
        <v>3.95</v>
      </c>
      <c r="AK32">
        <v>1.8</v>
      </c>
      <c r="AL32">
        <v>5.07</v>
      </c>
      <c r="AM32">
        <v>3.74</v>
      </c>
      <c r="AN32">
        <v>1.71</v>
      </c>
      <c r="AO32">
        <v>1</v>
      </c>
      <c r="AP32">
        <v>73.970999414786306</v>
      </c>
      <c r="AQ32">
        <v>102.06125235711001</v>
      </c>
      <c r="AR32">
        <v>223.96774822810301</v>
      </c>
      <c r="AS32">
        <v>400</v>
      </c>
      <c r="AT32">
        <v>3.1419468105859201</v>
      </c>
      <c r="AU32">
        <v>86.069238064997293</v>
      </c>
      <c r="AV32">
        <f t="shared" si="5"/>
        <v>2629.3787286980905</v>
      </c>
      <c r="AW32">
        <f t="shared" si="6"/>
        <v>486.24443100444563</v>
      </c>
      <c r="AX32">
        <f t="shared" si="7"/>
        <v>670.89421493018449</v>
      </c>
      <c r="AY32">
        <f t="shared" si="8"/>
        <v>1472.2400827634604</v>
      </c>
      <c r="AZ32" cm="1">
        <f t="array" ref="AZ32">_xlfn.IFS(E32="H",AW32*AI32-AV32,E32="D",AX32*AJ32-AV32,E32="A",AY32*AK32-AV32)</f>
        <v>20.653420276138149</v>
      </c>
      <c r="BA32">
        <f t="shared" si="9"/>
        <v>209.5908910134799</v>
      </c>
    </row>
    <row r="33" spans="1:53" x14ac:dyDescent="0.2">
      <c r="A33">
        <v>4</v>
      </c>
      <c r="B33" t="s">
        <v>55</v>
      </c>
      <c r="C33" s="1">
        <v>43722</v>
      </c>
      <c r="D33" t="s">
        <v>73</v>
      </c>
      <c r="E33" t="s">
        <v>49</v>
      </c>
      <c r="F33" t="s">
        <v>128</v>
      </c>
      <c r="G33" t="s">
        <v>153</v>
      </c>
      <c r="H33">
        <v>28513</v>
      </c>
      <c r="I33" t="s">
        <v>208</v>
      </c>
      <c r="J33" t="s">
        <v>126</v>
      </c>
      <c r="K33" t="s">
        <v>54</v>
      </c>
      <c r="L33">
        <v>2019</v>
      </c>
      <c r="M33">
        <v>1</v>
      </c>
      <c r="N33">
        <v>2.75</v>
      </c>
      <c r="O33">
        <v>0.25</v>
      </c>
      <c r="P33">
        <v>1</v>
      </c>
      <c r="Q33">
        <v>3.5</v>
      </c>
      <c r="R33">
        <v>3.6</v>
      </c>
      <c r="S33">
        <v>2.0499999999999998</v>
      </c>
      <c r="T33">
        <v>3.5</v>
      </c>
      <c r="U33">
        <v>3.75</v>
      </c>
      <c r="V33">
        <v>2</v>
      </c>
      <c r="W33">
        <v>3.4</v>
      </c>
      <c r="X33">
        <v>3.5</v>
      </c>
      <c r="Y33">
        <v>2.1</v>
      </c>
      <c r="Z33">
        <v>3.6</v>
      </c>
      <c r="AA33">
        <v>3.8</v>
      </c>
      <c r="AB33">
        <v>2.0499999999999998</v>
      </c>
      <c r="AC33">
        <v>3.5</v>
      </c>
      <c r="AD33">
        <v>3.6</v>
      </c>
      <c r="AE33">
        <v>2.0499999999999998</v>
      </c>
      <c r="AF33">
        <v>3.3</v>
      </c>
      <c r="AG33">
        <v>3.8</v>
      </c>
      <c r="AH33">
        <v>2.1</v>
      </c>
      <c r="AI33">
        <v>3.65</v>
      </c>
      <c r="AJ33">
        <v>3.85</v>
      </c>
      <c r="AK33">
        <v>2.2000000000000002</v>
      </c>
      <c r="AL33">
        <v>3.48</v>
      </c>
      <c r="AM33">
        <v>3.69</v>
      </c>
      <c r="AN33">
        <v>2.0499999999999998</v>
      </c>
      <c r="AO33">
        <v>1</v>
      </c>
      <c r="AP33">
        <v>110.89108910890999</v>
      </c>
      <c r="AQ33">
        <v>105.130513051305</v>
      </c>
      <c r="AR33">
        <v>183.97839783978301</v>
      </c>
      <c r="AS33">
        <v>400</v>
      </c>
      <c r="AT33">
        <v>4.7524752475247798</v>
      </c>
      <c r="AU33">
        <v>90.821713312521993</v>
      </c>
      <c r="AV33">
        <f t="shared" si="5"/>
        <v>2838.9696197115704</v>
      </c>
      <c r="AW33">
        <f t="shared" si="6"/>
        <v>787.04108269231665</v>
      </c>
      <c r="AX33">
        <f t="shared" si="7"/>
        <v>746.15583164336499</v>
      </c>
      <c r="AY33">
        <f t="shared" si="8"/>
        <v>1305.7727053758886</v>
      </c>
      <c r="AZ33" cm="1">
        <f t="array" ref="AZ33">_xlfn.IFS(E33="H",AW33*AI33-AV33,E33="D",AX33*AJ33-AV33,E33="A",AY33*AK33-AV33)</f>
        <v>33.730332115385409</v>
      </c>
      <c r="BA33">
        <f t="shared" si="9"/>
        <v>243.32122312886531</v>
      </c>
    </row>
    <row r="34" spans="1:53" x14ac:dyDescent="0.2">
      <c r="A34">
        <v>4</v>
      </c>
      <c r="B34" t="s">
        <v>55</v>
      </c>
      <c r="C34" s="1">
        <v>43722</v>
      </c>
      <c r="D34" t="s">
        <v>73</v>
      </c>
      <c r="E34" t="s">
        <v>49</v>
      </c>
      <c r="F34" t="s">
        <v>159</v>
      </c>
      <c r="G34" t="s">
        <v>147</v>
      </c>
      <c r="H34">
        <v>81365</v>
      </c>
      <c r="I34" t="s">
        <v>160</v>
      </c>
      <c r="J34" t="s">
        <v>201</v>
      </c>
      <c r="K34" t="s">
        <v>54</v>
      </c>
      <c r="L34">
        <v>2019</v>
      </c>
      <c r="M34">
        <v>2.25</v>
      </c>
      <c r="N34">
        <v>3</v>
      </c>
      <c r="O34">
        <v>3</v>
      </c>
      <c r="P34">
        <v>3.25</v>
      </c>
      <c r="Q34">
        <v>1.8</v>
      </c>
      <c r="R34">
        <v>4</v>
      </c>
      <c r="S34">
        <v>4</v>
      </c>
      <c r="T34">
        <v>1.75</v>
      </c>
      <c r="U34">
        <v>4.0999999999999996</v>
      </c>
      <c r="V34">
        <v>4.25</v>
      </c>
      <c r="W34">
        <v>1.75</v>
      </c>
      <c r="X34">
        <v>4.0999999999999996</v>
      </c>
      <c r="Y34">
        <v>4.2</v>
      </c>
      <c r="Z34">
        <v>1.87</v>
      </c>
      <c r="AA34">
        <v>3.99</v>
      </c>
      <c r="AB34">
        <v>4.0999999999999996</v>
      </c>
      <c r="AC34">
        <v>1.83</v>
      </c>
      <c r="AD34">
        <v>4</v>
      </c>
      <c r="AE34">
        <v>4</v>
      </c>
      <c r="AF34">
        <v>1.83</v>
      </c>
      <c r="AG34">
        <v>4.2</v>
      </c>
      <c r="AH34">
        <v>3.9</v>
      </c>
      <c r="AI34">
        <v>1.89</v>
      </c>
      <c r="AJ34">
        <v>4.2</v>
      </c>
      <c r="AK34">
        <v>4.3</v>
      </c>
      <c r="AL34">
        <v>1.82</v>
      </c>
      <c r="AM34">
        <v>4.01</v>
      </c>
      <c r="AN34">
        <v>4.04</v>
      </c>
      <c r="AO34">
        <v>1</v>
      </c>
      <c r="AP34">
        <v>211.692307692307</v>
      </c>
      <c r="AQ34">
        <v>95.261538461538393</v>
      </c>
      <c r="AR34">
        <v>93.0461538461538</v>
      </c>
      <c r="AS34">
        <v>400</v>
      </c>
      <c r="AT34">
        <v>9.8461538461492595E-2</v>
      </c>
      <c r="AU34">
        <v>90.9201748509835</v>
      </c>
      <c r="AV34">
        <f t="shared" si="5"/>
        <v>3082.2908428404357</v>
      </c>
      <c r="AW34">
        <f t="shared" si="6"/>
        <v>1631.2431537493999</v>
      </c>
      <c r="AX34">
        <f t="shared" si="7"/>
        <v>734.05941918722988</v>
      </c>
      <c r="AY34">
        <f t="shared" si="8"/>
        <v>716.98826990380599</v>
      </c>
      <c r="AZ34" cm="1">
        <f t="array" ref="AZ34">_xlfn.IFS(E34="H",AW34*AI34-AV34,E34="D",AX34*AJ34-AV34,E34="A",AY34*AK34-AV34)</f>
        <v>0.75871774592997099</v>
      </c>
      <c r="BA34">
        <f t="shared" si="9"/>
        <v>244.07994087479528</v>
      </c>
    </row>
    <row r="35" spans="1:53" x14ac:dyDescent="0.2">
      <c r="A35">
        <v>4</v>
      </c>
      <c r="B35" t="s">
        <v>55</v>
      </c>
      <c r="C35" s="1">
        <v>43722</v>
      </c>
      <c r="D35" t="s">
        <v>145</v>
      </c>
      <c r="E35" t="s">
        <v>57</v>
      </c>
      <c r="F35" t="s">
        <v>154</v>
      </c>
      <c r="G35" t="s">
        <v>146</v>
      </c>
      <c r="H35">
        <v>42146</v>
      </c>
      <c r="I35" t="s">
        <v>155</v>
      </c>
      <c r="J35" t="s">
        <v>202</v>
      </c>
      <c r="K35" t="s">
        <v>54</v>
      </c>
      <c r="L35">
        <v>2019</v>
      </c>
      <c r="M35">
        <v>2.5</v>
      </c>
      <c r="N35">
        <v>1.5</v>
      </c>
      <c r="O35">
        <v>2</v>
      </c>
      <c r="P35">
        <v>2</v>
      </c>
      <c r="Q35">
        <v>3.8</v>
      </c>
      <c r="R35">
        <v>4</v>
      </c>
      <c r="S35">
        <v>1.85</v>
      </c>
      <c r="T35">
        <v>3.75</v>
      </c>
      <c r="U35">
        <v>4.0999999999999996</v>
      </c>
      <c r="V35">
        <v>1.85</v>
      </c>
      <c r="W35">
        <v>3.5</v>
      </c>
      <c r="X35">
        <v>3.7</v>
      </c>
      <c r="Y35">
        <v>2</v>
      </c>
      <c r="Z35">
        <v>3.78</v>
      </c>
      <c r="AA35">
        <v>4.2699999999999996</v>
      </c>
      <c r="AB35">
        <v>1.88</v>
      </c>
      <c r="AC35">
        <v>3.9</v>
      </c>
      <c r="AD35">
        <v>4</v>
      </c>
      <c r="AE35">
        <v>1.83</v>
      </c>
      <c r="AF35">
        <v>3.8</v>
      </c>
      <c r="AG35">
        <v>4.0999999999999996</v>
      </c>
      <c r="AH35">
        <v>1.87</v>
      </c>
      <c r="AI35">
        <v>4.05</v>
      </c>
      <c r="AJ35">
        <v>4.2699999999999996</v>
      </c>
      <c r="AK35">
        <v>2</v>
      </c>
      <c r="AL35">
        <v>3.78</v>
      </c>
      <c r="AM35">
        <v>4.04</v>
      </c>
      <c r="AN35">
        <v>1.87</v>
      </c>
      <c r="AO35">
        <v>1</v>
      </c>
      <c r="AP35">
        <v>100.667481986827</v>
      </c>
      <c r="AQ35">
        <v>95.480866989847797</v>
      </c>
      <c r="AR35">
        <v>203.85165102332499</v>
      </c>
      <c r="AS35">
        <v>400</v>
      </c>
      <c r="AT35">
        <v>7.7033020466500304</v>
      </c>
      <c r="AU35">
        <v>98.623476897633594</v>
      </c>
      <c r="AV35">
        <f t="shared" si="5"/>
        <v>3326.370783715231</v>
      </c>
      <c r="AW35">
        <f t="shared" si="6"/>
        <v>837.14342737790309</v>
      </c>
      <c r="AX35">
        <f t="shared" si="7"/>
        <v>794.01191589707446</v>
      </c>
      <c r="AY35">
        <f t="shared" si="8"/>
        <v>1695.2154404402536</v>
      </c>
      <c r="AZ35" cm="1">
        <f t="array" ref="AZ35">_xlfn.IFS(E35="H",AW35*AI35-AV35,E35="D",AX35*AJ35-AV35,E35="A",AY35*AK35-AV35)</f>
        <v>64.060097165276602</v>
      </c>
      <c r="BA35">
        <f t="shared" si="9"/>
        <v>308.14003804007189</v>
      </c>
    </row>
    <row r="36" spans="1:53" x14ac:dyDescent="0.2">
      <c r="A36">
        <v>5</v>
      </c>
      <c r="B36" t="s">
        <v>55</v>
      </c>
      <c r="C36" s="1">
        <v>43722</v>
      </c>
      <c r="D36" t="s">
        <v>90</v>
      </c>
      <c r="E36" t="s">
        <v>49</v>
      </c>
      <c r="F36" t="s">
        <v>163</v>
      </c>
      <c r="G36" t="s">
        <v>184</v>
      </c>
      <c r="H36">
        <v>59812</v>
      </c>
      <c r="I36" t="s">
        <v>164</v>
      </c>
      <c r="J36" t="s">
        <v>190</v>
      </c>
      <c r="K36" t="s">
        <v>54</v>
      </c>
      <c r="L36">
        <v>2019</v>
      </c>
      <c r="M36">
        <v>1</v>
      </c>
      <c r="N36">
        <v>1.25</v>
      </c>
      <c r="O36">
        <v>2.25</v>
      </c>
      <c r="P36">
        <v>2</v>
      </c>
      <c r="Q36">
        <v>1.36</v>
      </c>
      <c r="R36">
        <v>5.25</v>
      </c>
      <c r="S36">
        <v>8</v>
      </c>
      <c r="T36">
        <v>1.36</v>
      </c>
      <c r="U36">
        <v>5</v>
      </c>
      <c r="V36">
        <v>8.5</v>
      </c>
      <c r="W36">
        <v>1.45</v>
      </c>
      <c r="X36">
        <v>4.5999999999999996</v>
      </c>
      <c r="Y36">
        <v>6.8</v>
      </c>
      <c r="Z36">
        <v>1.4</v>
      </c>
      <c r="AA36">
        <v>4.92</v>
      </c>
      <c r="AB36">
        <v>8.8699999999999992</v>
      </c>
      <c r="AC36">
        <v>1.38</v>
      </c>
      <c r="AD36">
        <v>4.8</v>
      </c>
      <c r="AE36">
        <v>8.5</v>
      </c>
      <c r="AF36">
        <v>1.4</v>
      </c>
      <c r="AG36">
        <v>5</v>
      </c>
      <c r="AH36">
        <v>8.5</v>
      </c>
      <c r="AI36">
        <v>1.45</v>
      </c>
      <c r="AJ36">
        <v>5.25</v>
      </c>
      <c r="AK36">
        <v>9</v>
      </c>
      <c r="AL36">
        <v>1.39</v>
      </c>
      <c r="AM36">
        <v>5</v>
      </c>
      <c r="AN36">
        <v>8.24</v>
      </c>
      <c r="AO36">
        <v>1</v>
      </c>
      <c r="AP36">
        <v>278.29928216454999</v>
      </c>
      <c r="AQ36">
        <v>76.863611264494693</v>
      </c>
      <c r="AR36">
        <v>44.8371065709552</v>
      </c>
      <c r="AS36">
        <v>400</v>
      </c>
      <c r="AT36">
        <v>3.53395913859748</v>
      </c>
      <c r="AU36">
        <v>102.157436036231</v>
      </c>
      <c r="AV36">
        <f t="shared" si="5"/>
        <v>3634.5108217553029</v>
      </c>
      <c r="AW36">
        <f t="shared" si="6"/>
        <v>2528.7043817844738</v>
      </c>
      <c r="AX36">
        <f t="shared" si="7"/>
        <v>698.40406734999749</v>
      </c>
      <c r="AY36">
        <f t="shared" si="8"/>
        <v>407.40237262083184</v>
      </c>
      <c r="AZ36" cm="1">
        <f t="array" ref="AZ36">_xlfn.IFS(E36="H",AW36*AI36-AV36,E36="D",AX36*AJ36-AV36,E36="A",AY36*AK36-AV36)</f>
        <v>32.110531832183824</v>
      </c>
      <c r="BA36">
        <f t="shared" si="9"/>
        <v>340.25056987225571</v>
      </c>
    </row>
    <row r="37" spans="1:53" x14ac:dyDescent="0.2">
      <c r="A37">
        <v>5</v>
      </c>
      <c r="B37" t="s">
        <v>55</v>
      </c>
      <c r="C37" s="1">
        <v>43722</v>
      </c>
      <c r="D37" t="s">
        <v>90</v>
      </c>
      <c r="E37" t="s">
        <v>49</v>
      </c>
      <c r="F37" t="s">
        <v>121</v>
      </c>
      <c r="G37" t="s">
        <v>130</v>
      </c>
      <c r="H37">
        <v>73689</v>
      </c>
      <c r="I37" t="s">
        <v>192</v>
      </c>
      <c r="J37" t="s">
        <v>166</v>
      </c>
      <c r="K37" t="s">
        <v>54</v>
      </c>
      <c r="L37">
        <v>2019</v>
      </c>
      <c r="M37">
        <v>1</v>
      </c>
      <c r="N37">
        <v>1.5</v>
      </c>
      <c r="O37">
        <v>1.25</v>
      </c>
      <c r="P37">
        <v>1.25</v>
      </c>
      <c r="Q37">
        <v>1.95</v>
      </c>
      <c r="R37">
        <v>3.5</v>
      </c>
      <c r="S37">
        <v>4</v>
      </c>
      <c r="T37">
        <v>1.87</v>
      </c>
      <c r="U37">
        <v>3.7</v>
      </c>
      <c r="V37">
        <v>4.0999999999999996</v>
      </c>
      <c r="W37">
        <v>1.8</v>
      </c>
      <c r="X37">
        <v>3.6</v>
      </c>
      <c r="Y37">
        <v>4.5</v>
      </c>
      <c r="Z37">
        <v>1.99</v>
      </c>
      <c r="AA37">
        <v>3.53</v>
      </c>
      <c r="AB37">
        <v>4.17</v>
      </c>
      <c r="AC37">
        <v>1.95</v>
      </c>
      <c r="AD37">
        <v>3.5</v>
      </c>
      <c r="AE37">
        <v>4</v>
      </c>
      <c r="AF37">
        <v>1.95</v>
      </c>
      <c r="AG37">
        <v>3.6</v>
      </c>
      <c r="AH37">
        <v>4.0999999999999996</v>
      </c>
      <c r="AI37">
        <v>2</v>
      </c>
      <c r="AJ37">
        <v>3.8</v>
      </c>
      <c r="AK37">
        <v>4.5</v>
      </c>
      <c r="AL37">
        <v>1.94</v>
      </c>
      <c r="AM37">
        <v>3.55</v>
      </c>
      <c r="AN37">
        <v>4.12</v>
      </c>
      <c r="AO37">
        <v>1</v>
      </c>
      <c r="AP37">
        <v>202.967359050445</v>
      </c>
      <c r="AQ37">
        <v>106.824925816023</v>
      </c>
      <c r="AR37">
        <v>90.207715133531096</v>
      </c>
      <c r="AS37">
        <v>400</v>
      </c>
      <c r="AT37">
        <v>5.9347181008902199</v>
      </c>
      <c r="AU37">
        <v>108.092154137121</v>
      </c>
      <c r="AV37">
        <f t="shared" si="5"/>
        <v>3974.7613916275586</v>
      </c>
      <c r="AW37">
        <f t="shared" si="6"/>
        <v>2016.867056285794</v>
      </c>
      <c r="AX37">
        <f t="shared" si="7"/>
        <v>1061.508976992523</v>
      </c>
      <c r="AY37">
        <f t="shared" si="8"/>
        <v>896.38535834924176</v>
      </c>
      <c r="AZ37" cm="1">
        <f t="array" ref="AZ37">_xlfn.IFS(E37="H",AW37*AI37-AV37,E37="D",AX37*AJ37-AV37,E37="A",AY37*AK37-AV37)</f>
        <v>58.972720944029334</v>
      </c>
      <c r="BA37">
        <f t="shared" si="9"/>
        <v>399.22329081628504</v>
      </c>
    </row>
    <row r="38" spans="1:53" x14ac:dyDescent="0.2">
      <c r="A38">
        <v>5</v>
      </c>
      <c r="B38" t="s">
        <v>55</v>
      </c>
      <c r="C38" s="1">
        <v>43722</v>
      </c>
      <c r="D38" t="s">
        <v>99</v>
      </c>
      <c r="E38" t="s">
        <v>49</v>
      </c>
      <c r="F38" t="s">
        <v>100</v>
      </c>
      <c r="G38" t="s">
        <v>101</v>
      </c>
      <c r="H38">
        <v>27035</v>
      </c>
      <c r="I38" t="s">
        <v>102</v>
      </c>
      <c r="J38" t="s">
        <v>103</v>
      </c>
      <c r="K38" t="s">
        <v>54</v>
      </c>
      <c r="L38">
        <v>2019</v>
      </c>
      <c r="M38">
        <v>1.5</v>
      </c>
      <c r="N38">
        <v>2.5</v>
      </c>
      <c r="O38">
        <v>3</v>
      </c>
      <c r="P38">
        <v>3.25</v>
      </c>
      <c r="Q38">
        <v>15</v>
      </c>
      <c r="R38">
        <v>9</v>
      </c>
      <c r="S38">
        <v>1.1399999999999999</v>
      </c>
      <c r="T38">
        <v>14.5</v>
      </c>
      <c r="U38">
        <v>8.5</v>
      </c>
      <c r="V38">
        <v>1.1599999999999999</v>
      </c>
      <c r="W38">
        <v>15</v>
      </c>
      <c r="X38">
        <v>8.5</v>
      </c>
      <c r="Y38">
        <v>1.1499999999999999</v>
      </c>
      <c r="Z38">
        <v>18.79</v>
      </c>
      <c r="AA38">
        <v>9.48</v>
      </c>
      <c r="AB38">
        <v>1.1399999999999999</v>
      </c>
      <c r="AC38">
        <v>17</v>
      </c>
      <c r="AD38">
        <v>8.5</v>
      </c>
      <c r="AE38">
        <v>1.1399999999999999</v>
      </c>
      <c r="AF38">
        <v>17</v>
      </c>
      <c r="AG38">
        <v>9</v>
      </c>
      <c r="AH38">
        <v>1.1499999999999999</v>
      </c>
      <c r="AI38">
        <v>21</v>
      </c>
      <c r="AJ38">
        <v>9.85</v>
      </c>
      <c r="AK38">
        <v>1.18</v>
      </c>
      <c r="AL38">
        <v>17.04</v>
      </c>
      <c r="AM38">
        <v>9.0299999999999994</v>
      </c>
      <c r="AN38">
        <v>1.1499999999999999</v>
      </c>
      <c r="AO38">
        <v>1</v>
      </c>
      <c r="AP38">
        <v>19.1126111497083</v>
      </c>
      <c r="AQ38">
        <v>40.747698897855301</v>
      </c>
      <c r="AR38">
        <v>340.13968995243602</v>
      </c>
      <c r="AS38">
        <v>400</v>
      </c>
      <c r="AT38">
        <v>1.3648341438748699</v>
      </c>
      <c r="AU38">
        <v>109.456988280996</v>
      </c>
      <c r="AV38">
        <f t="shared" si="5"/>
        <v>4373.9846824438437</v>
      </c>
      <c r="AW38">
        <f t="shared" si="6"/>
        <v>208.99567102582412</v>
      </c>
      <c r="AX38">
        <f t="shared" si="7"/>
        <v>445.57452706013271</v>
      </c>
      <c r="AY38">
        <f t="shared" si="8"/>
        <v>3719.414484357887</v>
      </c>
      <c r="AZ38" cm="1">
        <f t="array" ref="AZ38">_xlfn.IFS(E38="H",AW38*AI38-AV38,E38="D",AX38*AJ38-AV38,E38="A",AY38*AK38-AV38)</f>
        <v>14.924409098463002</v>
      </c>
      <c r="BA38">
        <f t="shared" si="9"/>
        <v>414.14769991474805</v>
      </c>
    </row>
    <row r="39" spans="1:53" x14ac:dyDescent="0.2">
      <c r="A39">
        <v>5</v>
      </c>
      <c r="B39" t="s">
        <v>55</v>
      </c>
      <c r="C39" s="1">
        <v>43722</v>
      </c>
      <c r="D39" t="s">
        <v>62</v>
      </c>
      <c r="E39" t="s">
        <v>49</v>
      </c>
      <c r="F39" t="s">
        <v>64</v>
      </c>
      <c r="G39" t="s">
        <v>104</v>
      </c>
      <c r="H39">
        <v>12765</v>
      </c>
      <c r="I39" t="s">
        <v>105</v>
      </c>
      <c r="J39" t="s">
        <v>106</v>
      </c>
      <c r="K39" t="s">
        <v>54</v>
      </c>
      <c r="L39">
        <v>2019</v>
      </c>
      <c r="M39">
        <v>1.25</v>
      </c>
      <c r="N39">
        <v>0.75</v>
      </c>
      <c r="O39">
        <v>1.75</v>
      </c>
      <c r="P39">
        <v>1.25</v>
      </c>
      <c r="Q39">
        <v>2</v>
      </c>
      <c r="R39">
        <v>3.5</v>
      </c>
      <c r="S39">
        <v>3.75</v>
      </c>
      <c r="T39">
        <v>1.95</v>
      </c>
      <c r="U39">
        <v>3.1</v>
      </c>
      <c r="V39">
        <v>4.5999999999999996</v>
      </c>
      <c r="W39">
        <v>2.15</v>
      </c>
      <c r="X39">
        <v>3.2</v>
      </c>
      <c r="Y39">
        <v>3.6</v>
      </c>
      <c r="Z39">
        <v>1.93</v>
      </c>
      <c r="AA39">
        <v>3.35</v>
      </c>
      <c r="AB39">
        <v>4.7300000000000004</v>
      </c>
      <c r="AC39">
        <v>1.88</v>
      </c>
      <c r="AD39">
        <v>3.3</v>
      </c>
      <c r="AE39">
        <v>4.5</v>
      </c>
      <c r="AF39">
        <v>1.93</v>
      </c>
      <c r="AG39">
        <v>3.2</v>
      </c>
      <c r="AH39">
        <v>4.4000000000000004</v>
      </c>
      <c r="AI39">
        <v>2.15</v>
      </c>
      <c r="AJ39">
        <v>3.5</v>
      </c>
      <c r="AK39">
        <v>4.75</v>
      </c>
      <c r="AL39">
        <v>1.94</v>
      </c>
      <c r="AM39">
        <v>3.28</v>
      </c>
      <c r="AN39">
        <v>4.37</v>
      </c>
      <c r="AO39">
        <v>1</v>
      </c>
      <c r="AP39">
        <v>193.52491815205499</v>
      </c>
      <c r="AQ39">
        <v>118.87959257911901</v>
      </c>
      <c r="AR39">
        <v>87.595489268825006</v>
      </c>
      <c r="AS39">
        <v>399.99999999999898</v>
      </c>
      <c r="AT39">
        <v>16.078574026918801</v>
      </c>
      <c r="AU39">
        <v>125.535562307915</v>
      </c>
      <c r="AV39">
        <f t="shared" si="5"/>
        <v>4788.1323823585917</v>
      </c>
      <c r="AW39">
        <f t="shared" si="6"/>
        <v>2316.5573184928799</v>
      </c>
      <c r="AX39">
        <f t="shared" si="7"/>
        <v>1423.0280670741975</v>
      </c>
      <c r="AY39">
        <f t="shared" si="8"/>
        <v>1048.5469967915142</v>
      </c>
      <c r="AZ39" cm="1">
        <f t="array" ref="AZ39">_xlfn.IFS(E39="H",AW39*AI39-AV39,E39="D",AX39*AJ39-AV39,E39="A",AY39*AK39-AV39)</f>
        <v>192.46585240110016</v>
      </c>
      <c r="BA39">
        <f t="shared" si="9"/>
        <v>606.61355231584821</v>
      </c>
    </row>
    <row r="40" spans="1:53" x14ac:dyDescent="0.2">
      <c r="A40">
        <v>3</v>
      </c>
      <c r="B40" t="s">
        <v>67</v>
      </c>
      <c r="C40" s="1">
        <v>43723</v>
      </c>
      <c r="D40" t="s">
        <v>107</v>
      </c>
      <c r="E40" t="s">
        <v>49</v>
      </c>
      <c r="F40" t="s">
        <v>108</v>
      </c>
      <c r="G40" t="s">
        <v>109</v>
      </c>
      <c r="H40">
        <v>34407</v>
      </c>
      <c r="I40" t="s">
        <v>110</v>
      </c>
      <c r="J40" t="s">
        <v>111</v>
      </c>
      <c r="K40" t="s">
        <v>54</v>
      </c>
      <c r="L40">
        <v>2019</v>
      </c>
      <c r="M40">
        <v>2.5</v>
      </c>
      <c r="N40">
        <v>2.5</v>
      </c>
      <c r="O40">
        <v>0.75</v>
      </c>
      <c r="P40">
        <v>1.25</v>
      </c>
      <c r="Q40">
        <v>1.65</v>
      </c>
      <c r="R40">
        <v>4.2</v>
      </c>
      <c r="S40">
        <v>4.75</v>
      </c>
      <c r="T40">
        <v>1.67</v>
      </c>
      <c r="U40">
        <v>4.0999999999999996</v>
      </c>
      <c r="V40">
        <v>4.75</v>
      </c>
      <c r="W40">
        <v>1.7</v>
      </c>
      <c r="X40">
        <v>4.1500000000000004</v>
      </c>
      <c r="Y40">
        <v>4.5</v>
      </c>
      <c r="Z40">
        <v>1.69</v>
      </c>
      <c r="AA40">
        <v>4.28</v>
      </c>
      <c r="AB40">
        <v>4.8600000000000003</v>
      </c>
      <c r="AC40">
        <v>1.65</v>
      </c>
      <c r="AD40">
        <v>4</v>
      </c>
      <c r="AE40">
        <v>4.8</v>
      </c>
      <c r="AF40">
        <v>1.67</v>
      </c>
      <c r="AG40">
        <v>4.0999999999999996</v>
      </c>
      <c r="AH40">
        <v>5.2</v>
      </c>
      <c r="AI40">
        <v>1.75</v>
      </c>
      <c r="AJ40">
        <v>4.3</v>
      </c>
      <c r="AK40">
        <v>5.2</v>
      </c>
      <c r="AL40">
        <v>1.69</v>
      </c>
      <c r="AM40">
        <v>4.13</v>
      </c>
      <c r="AN40">
        <v>4.7300000000000004</v>
      </c>
      <c r="AO40">
        <v>1</v>
      </c>
      <c r="AP40">
        <v>229.42157239964001</v>
      </c>
      <c r="AQ40">
        <v>93.369244581249205</v>
      </c>
      <c r="AR40">
        <v>77.209183019109901</v>
      </c>
      <c r="AS40">
        <v>400</v>
      </c>
      <c r="AT40">
        <v>1.48775169937158</v>
      </c>
      <c r="AU40">
        <v>127.023314007286</v>
      </c>
      <c r="AV40">
        <f t="shared" si="5"/>
        <v>5394.7459346744399</v>
      </c>
      <c r="AW40">
        <f t="shared" si="6"/>
        <v>3094.1777375739512</v>
      </c>
      <c r="AX40">
        <f t="shared" si="7"/>
        <v>1259.258381570794</v>
      </c>
      <c r="AY40">
        <f t="shared" si="8"/>
        <v>1041.309815529695</v>
      </c>
      <c r="AZ40" cm="1">
        <f t="array" ref="AZ40">_xlfn.IFS(E40="H",AW40*AI40-AV40,E40="D",AX40*AJ40-AV40,E40="A",AY40*AK40-AV40)</f>
        <v>20.065106079974612</v>
      </c>
      <c r="BA40">
        <f t="shared" si="9"/>
        <v>626.67865839582282</v>
      </c>
    </row>
    <row r="41" spans="1:53" x14ac:dyDescent="0.2">
      <c r="A41">
        <v>4</v>
      </c>
      <c r="B41" t="s">
        <v>67</v>
      </c>
      <c r="C41" s="1">
        <v>43723</v>
      </c>
      <c r="D41" t="s">
        <v>112</v>
      </c>
      <c r="E41" t="s">
        <v>74</v>
      </c>
      <c r="F41" t="s">
        <v>113</v>
      </c>
      <c r="G41" t="s">
        <v>114</v>
      </c>
      <c r="H41">
        <v>5410</v>
      </c>
      <c r="I41" t="s">
        <v>115</v>
      </c>
      <c r="J41" t="s">
        <v>116</v>
      </c>
      <c r="K41" t="s">
        <v>54</v>
      </c>
      <c r="L41">
        <v>2019</v>
      </c>
      <c r="M41">
        <v>1.75</v>
      </c>
      <c r="N41">
        <v>1.25</v>
      </c>
      <c r="O41">
        <v>1.5</v>
      </c>
      <c r="P41">
        <v>1.25</v>
      </c>
      <c r="Q41">
        <v>2</v>
      </c>
      <c r="R41">
        <v>3.3</v>
      </c>
      <c r="S41">
        <v>4</v>
      </c>
      <c r="T41">
        <v>1.95</v>
      </c>
      <c r="U41">
        <v>3.3</v>
      </c>
      <c r="V41">
        <v>4.25</v>
      </c>
      <c r="W41">
        <v>1.95</v>
      </c>
      <c r="X41">
        <v>3.35</v>
      </c>
      <c r="Y41">
        <v>4.1500000000000004</v>
      </c>
      <c r="Z41">
        <v>1.97</v>
      </c>
      <c r="AA41">
        <v>3.39</v>
      </c>
      <c r="AB41">
        <v>4.42</v>
      </c>
      <c r="AC41">
        <v>1.95</v>
      </c>
      <c r="AD41">
        <v>3.3</v>
      </c>
      <c r="AE41">
        <v>4.33</v>
      </c>
      <c r="AF41">
        <v>2</v>
      </c>
      <c r="AG41">
        <v>3.3</v>
      </c>
      <c r="AH41">
        <v>4.0999999999999996</v>
      </c>
      <c r="AI41">
        <v>2.1</v>
      </c>
      <c r="AJ41">
        <v>3.46</v>
      </c>
      <c r="AK41">
        <v>4.45</v>
      </c>
      <c r="AL41">
        <v>1.97</v>
      </c>
      <c r="AM41">
        <v>3.34</v>
      </c>
      <c r="AN41">
        <v>4.21</v>
      </c>
      <c r="AO41">
        <v>1</v>
      </c>
      <c r="AP41">
        <v>192.41439640089899</v>
      </c>
      <c r="AQ41">
        <v>116.783304173956</v>
      </c>
      <c r="AR41">
        <v>90.802299425143701</v>
      </c>
      <c r="AS41">
        <v>400</v>
      </c>
      <c r="AT41">
        <v>4.0702324418895701</v>
      </c>
      <c r="AU41">
        <v>131.09354644917599</v>
      </c>
      <c r="AV41">
        <f t="shared" si="5"/>
        <v>6021.4245930702627</v>
      </c>
      <c r="AW41">
        <f t="shared" si="6"/>
        <v>2896.5219463728708</v>
      </c>
      <c r="AX41">
        <f t="shared" si="7"/>
        <v>1758.0046495326671</v>
      </c>
      <c r="AY41">
        <f t="shared" si="8"/>
        <v>1366.8979971647254</v>
      </c>
      <c r="AZ41" cm="1">
        <f t="array" ref="AZ41">_xlfn.IFS(E41="H",AW41*AI41-AV41,E41="D",AX41*AJ41-AV41,E41="A",AY41*AK41-AV41)</f>
        <v>61.271494312765753</v>
      </c>
      <c r="BA41">
        <f t="shared" si="9"/>
        <v>687.95015270858858</v>
      </c>
    </row>
    <row r="42" spans="1:53" x14ac:dyDescent="0.2">
      <c r="A42">
        <v>5</v>
      </c>
      <c r="B42" t="s">
        <v>67</v>
      </c>
      <c r="C42" s="1">
        <v>43723</v>
      </c>
      <c r="D42" t="s">
        <v>162</v>
      </c>
      <c r="E42" t="s">
        <v>57</v>
      </c>
      <c r="F42" t="s">
        <v>165</v>
      </c>
      <c r="G42" t="s">
        <v>141</v>
      </c>
      <c r="H42">
        <v>21360</v>
      </c>
      <c r="I42" t="s">
        <v>194</v>
      </c>
      <c r="J42" t="s">
        <v>122</v>
      </c>
      <c r="K42" t="s">
        <v>54</v>
      </c>
      <c r="L42">
        <v>2019</v>
      </c>
      <c r="M42">
        <v>0</v>
      </c>
      <c r="N42">
        <v>0.75</v>
      </c>
      <c r="O42">
        <v>1.5</v>
      </c>
      <c r="P42">
        <v>1.25</v>
      </c>
      <c r="Q42">
        <v>3.6</v>
      </c>
      <c r="R42">
        <v>3.6</v>
      </c>
      <c r="S42">
        <v>2</v>
      </c>
      <c r="T42">
        <v>3.8</v>
      </c>
      <c r="U42">
        <v>3.8</v>
      </c>
      <c r="V42">
        <v>1.91</v>
      </c>
      <c r="W42">
        <v>3.9</v>
      </c>
      <c r="X42">
        <v>3.7</v>
      </c>
      <c r="Y42">
        <v>1.9</v>
      </c>
      <c r="Z42">
        <v>3.66</v>
      </c>
      <c r="AA42">
        <v>3.74</v>
      </c>
      <c r="AB42">
        <v>2.06</v>
      </c>
      <c r="AC42">
        <v>3.6</v>
      </c>
      <c r="AD42">
        <v>3.7</v>
      </c>
      <c r="AE42">
        <v>2</v>
      </c>
      <c r="AF42">
        <v>3.6</v>
      </c>
      <c r="AG42">
        <v>3.75</v>
      </c>
      <c r="AH42">
        <v>2.0499999999999998</v>
      </c>
      <c r="AI42">
        <v>3.9</v>
      </c>
      <c r="AJ42">
        <v>3.9</v>
      </c>
      <c r="AK42">
        <v>2.08</v>
      </c>
      <c r="AL42">
        <v>3.64</v>
      </c>
      <c r="AM42">
        <v>3.74</v>
      </c>
      <c r="AN42">
        <v>2.0099999999999998</v>
      </c>
      <c r="AO42">
        <v>1</v>
      </c>
      <c r="AP42">
        <v>103.225806451612</v>
      </c>
      <c r="AQ42">
        <v>103.225806451612</v>
      </c>
      <c r="AR42">
        <v>193.54838709677401</v>
      </c>
      <c r="AS42">
        <v>400</v>
      </c>
      <c r="AT42">
        <v>2.5806451612902999</v>
      </c>
      <c r="AU42">
        <v>133.67419161046601</v>
      </c>
      <c r="AV42">
        <f t="shared" si="5"/>
        <v>6709.3747457788513</v>
      </c>
      <c r="AW42">
        <f t="shared" si="6"/>
        <v>1731.451547297768</v>
      </c>
      <c r="AX42">
        <f t="shared" si="7"/>
        <v>1731.451547297768</v>
      </c>
      <c r="AY42">
        <f t="shared" si="8"/>
        <v>3246.4716511833153</v>
      </c>
      <c r="AZ42" cm="1">
        <f t="array" ref="AZ42">_xlfn.IFS(E42="H",AW42*AI42-AV42,E42="D",AX42*AJ42-AV42,E42="A",AY42*AK42-AV42)</f>
        <v>43.286288682444138</v>
      </c>
      <c r="BA42">
        <f t="shared" si="9"/>
        <v>731.23644139103271</v>
      </c>
    </row>
    <row r="43" spans="1:53" x14ac:dyDescent="0.2">
      <c r="A43">
        <v>5</v>
      </c>
      <c r="B43" t="s">
        <v>67</v>
      </c>
      <c r="C43" s="1">
        <v>43723</v>
      </c>
      <c r="D43" t="s">
        <v>82</v>
      </c>
      <c r="E43" t="s">
        <v>57</v>
      </c>
      <c r="F43" t="s">
        <v>158</v>
      </c>
      <c r="G43" t="s">
        <v>139</v>
      </c>
      <c r="H43">
        <v>24240</v>
      </c>
      <c r="I43" t="s">
        <v>215</v>
      </c>
      <c r="J43" t="s">
        <v>216</v>
      </c>
      <c r="K43" t="s">
        <v>54</v>
      </c>
      <c r="L43">
        <v>2019</v>
      </c>
      <c r="M43">
        <v>1.75</v>
      </c>
      <c r="N43">
        <v>1.5</v>
      </c>
      <c r="O43">
        <v>0.5</v>
      </c>
      <c r="P43">
        <v>0.5</v>
      </c>
      <c r="Q43">
        <v>1.61</v>
      </c>
      <c r="R43">
        <v>4</v>
      </c>
      <c r="S43">
        <v>5.5</v>
      </c>
      <c r="T43">
        <v>1.67</v>
      </c>
      <c r="U43">
        <v>3.9</v>
      </c>
      <c r="V43">
        <v>5.25</v>
      </c>
      <c r="W43">
        <v>1.7</v>
      </c>
      <c r="X43">
        <v>3.8</v>
      </c>
      <c r="Y43">
        <v>5</v>
      </c>
      <c r="Z43">
        <v>1.67</v>
      </c>
      <c r="AA43">
        <v>4.1399999999999997</v>
      </c>
      <c r="AB43">
        <v>5.22</v>
      </c>
      <c r="AC43">
        <v>1.63</v>
      </c>
      <c r="AD43">
        <v>3.9</v>
      </c>
      <c r="AE43">
        <v>5.25</v>
      </c>
      <c r="AF43">
        <v>1.62</v>
      </c>
      <c r="AG43">
        <v>3.9</v>
      </c>
      <c r="AH43">
        <v>5.75</v>
      </c>
      <c r="AI43">
        <v>1.71</v>
      </c>
      <c r="AJ43">
        <v>4.2</v>
      </c>
      <c r="AK43">
        <v>5.75</v>
      </c>
      <c r="AL43">
        <v>1.65</v>
      </c>
      <c r="AM43">
        <v>3.93</v>
      </c>
      <c r="AN43">
        <v>5.21</v>
      </c>
      <c r="AO43">
        <v>1</v>
      </c>
      <c r="AP43">
        <v>234.668221404365</v>
      </c>
      <c r="AQ43">
        <v>95.543490143205901</v>
      </c>
      <c r="AR43">
        <v>69.788288452428603</v>
      </c>
      <c r="AS43">
        <v>400</v>
      </c>
      <c r="AT43">
        <v>1.28265860146484</v>
      </c>
      <c r="AU43">
        <v>134.956850211931</v>
      </c>
      <c r="AV43">
        <f t="shared" si="5"/>
        <v>7440.611187169884</v>
      </c>
      <c r="AW43">
        <f t="shared" si="6"/>
        <v>4365.1874836364514</v>
      </c>
      <c r="AX43">
        <f t="shared" si="7"/>
        <v>1777.2549040519839</v>
      </c>
      <c r="AY43">
        <f t="shared" si="8"/>
        <v>1298.1687994814492</v>
      </c>
      <c r="AZ43" cm="1">
        <f t="array" ref="AZ43">_xlfn.IFS(E43="H",AW43*AI43-AV43,E43="D",AX43*AJ43-AV43,E43="A",AY43*AK43-AV43)</f>
        <v>23.859409848448195</v>
      </c>
      <c r="BA43">
        <f t="shared" si="9"/>
        <v>755.09585123948091</v>
      </c>
    </row>
    <row r="44" spans="1:53" x14ac:dyDescent="0.2">
      <c r="A44">
        <v>5</v>
      </c>
      <c r="B44" t="s">
        <v>67</v>
      </c>
      <c r="C44" s="1">
        <v>43723</v>
      </c>
      <c r="D44" t="s">
        <v>68</v>
      </c>
      <c r="E44" t="s">
        <v>74</v>
      </c>
      <c r="F44" t="s">
        <v>124</v>
      </c>
      <c r="G44" t="s">
        <v>59</v>
      </c>
      <c r="H44">
        <v>9147</v>
      </c>
      <c r="I44" t="s">
        <v>125</v>
      </c>
      <c r="J44" t="s">
        <v>72</v>
      </c>
      <c r="K44" t="s">
        <v>54</v>
      </c>
      <c r="L44">
        <v>2019</v>
      </c>
      <c r="M44">
        <v>1</v>
      </c>
      <c r="N44">
        <v>1.5</v>
      </c>
      <c r="O44">
        <v>2</v>
      </c>
      <c r="P44">
        <v>2</v>
      </c>
      <c r="Q44">
        <v>2.4</v>
      </c>
      <c r="R44">
        <v>3.6</v>
      </c>
      <c r="S44">
        <v>2.8</v>
      </c>
      <c r="T44">
        <v>2.4500000000000002</v>
      </c>
      <c r="U44">
        <v>3.5</v>
      </c>
      <c r="V44">
        <v>2.8</v>
      </c>
      <c r="W44">
        <v>2.6</v>
      </c>
      <c r="X44">
        <v>3.35</v>
      </c>
      <c r="Y44">
        <v>2.7</v>
      </c>
      <c r="Z44">
        <v>2.41</v>
      </c>
      <c r="AA44">
        <v>3.69</v>
      </c>
      <c r="AB44">
        <v>2.91</v>
      </c>
      <c r="AC44">
        <v>2.38</v>
      </c>
      <c r="AD44">
        <v>3.5</v>
      </c>
      <c r="AE44">
        <v>2.8</v>
      </c>
      <c r="AF44">
        <v>2.4500000000000002</v>
      </c>
      <c r="AG44">
        <v>3.5</v>
      </c>
      <c r="AH44">
        <v>2.9</v>
      </c>
      <c r="AI44">
        <v>2.6</v>
      </c>
      <c r="AJ44">
        <v>3.69</v>
      </c>
      <c r="AK44">
        <v>3</v>
      </c>
      <c r="AL44">
        <v>2.41</v>
      </c>
      <c r="AM44">
        <v>3.53</v>
      </c>
      <c r="AN44">
        <v>2.83</v>
      </c>
      <c r="AO44">
        <v>1</v>
      </c>
      <c r="AP44">
        <v>155.56492411467099</v>
      </c>
      <c r="AQ44">
        <v>109.612141652613</v>
      </c>
      <c r="AR44">
        <v>134.822934232715</v>
      </c>
      <c r="AS44">
        <v>400</v>
      </c>
      <c r="AT44">
        <v>4.4688026981450504</v>
      </c>
      <c r="AU44">
        <v>139.425652910076</v>
      </c>
      <c r="AV44">
        <f t="shared" si="5"/>
        <v>8195.707038409364</v>
      </c>
      <c r="AW44">
        <f t="shared" si="6"/>
        <v>3187.4113587405723</v>
      </c>
      <c r="AX44">
        <f t="shared" si="7"/>
        <v>2245.8725020936286</v>
      </c>
      <c r="AY44">
        <f t="shared" si="8"/>
        <v>2762.4231775751632</v>
      </c>
      <c r="AZ44" cm="1">
        <f t="array" ref="AZ44">_xlfn.IFS(E44="H",AW44*AI44-AV44,E44="D",AX44*AJ44-AV44,E44="A",AY44*AK44-AV44)</f>
        <v>91.562494316125594</v>
      </c>
      <c r="BA44">
        <f t="shared" si="9"/>
        <v>846.6583455556065</v>
      </c>
    </row>
    <row r="45" spans="1:53" x14ac:dyDescent="0.2">
      <c r="A45">
        <v>5</v>
      </c>
      <c r="B45" t="s">
        <v>55</v>
      </c>
      <c r="C45" s="1">
        <v>43729</v>
      </c>
      <c r="D45" t="s">
        <v>73</v>
      </c>
      <c r="E45" t="s">
        <v>57</v>
      </c>
      <c r="F45" t="s">
        <v>137</v>
      </c>
      <c r="G45" t="s">
        <v>128</v>
      </c>
      <c r="H45">
        <v>23800</v>
      </c>
      <c r="I45" t="s">
        <v>172</v>
      </c>
      <c r="J45" t="s">
        <v>176</v>
      </c>
      <c r="K45" t="s">
        <v>54</v>
      </c>
      <c r="L45">
        <v>2019</v>
      </c>
      <c r="M45">
        <v>1.75</v>
      </c>
      <c r="N45">
        <v>2.5</v>
      </c>
      <c r="O45">
        <v>0.25</v>
      </c>
      <c r="P45">
        <v>1</v>
      </c>
      <c r="Q45">
        <v>1.9</v>
      </c>
      <c r="R45">
        <v>3.75</v>
      </c>
      <c r="S45">
        <v>3.8</v>
      </c>
      <c r="T45">
        <v>1.87</v>
      </c>
      <c r="U45">
        <v>3.75</v>
      </c>
      <c r="V45">
        <v>4</v>
      </c>
      <c r="W45">
        <v>2</v>
      </c>
      <c r="X45">
        <v>3.5</v>
      </c>
      <c r="Y45">
        <v>3.7</v>
      </c>
      <c r="Z45">
        <v>1.9</v>
      </c>
      <c r="AA45">
        <v>3.88</v>
      </c>
      <c r="AB45">
        <v>4.0999999999999996</v>
      </c>
      <c r="AC45">
        <v>1.88</v>
      </c>
      <c r="AD45">
        <v>3.7</v>
      </c>
      <c r="AE45">
        <v>4</v>
      </c>
      <c r="AF45">
        <v>1.9</v>
      </c>
      <c r="AG45">
        <v>3.8</v>
      </c>
      <c r="AH45">
        <v>3.9</v>
      </c>
      <c r="AI45">
        <v>2.0499999999999998</v>
      </c>
      <c r="AJ45">
        <v>3.9</v>
      </c>
      <c r="AK45">
        <v>4.2</v>
      </c>
      <c r="AL45">
        <v>1.9</v>
      </c>
      <c r="AM45">
        <v>3.77</v>
      </c>
      <c r="AN45">
        <v>3.92</v>
      </c>
      <c r="AO45">
        <v>1</v>
      </c>
      <c r="AP45">
        <v>198.63574351978099</v>
      </c>
      <c r="AQ45">
        <v>104.411095952705</v>
      </c>
      <c r="AR45">
        <v>96.953160527512495</v>
      </c>
      <c r="AS45">
        <v>400</v>
      </c>
      <c r="AT45">
        <v>7.2032742155525398</v>
      </c>
      <c r="AU45">
        <v>146.628927125628</v>
      </c>
      <c r="AV45">
        <f t="shared" si="5"/>
        <v>9042.3653839649705</v>
      </c>
      <c r="AW45">
        <f t="shared" si="6"/>
        <v>4490.3424280535464</v>
      </c>
      <c r="AX45">
        <f t="shared" si="7"/>
        <v>2360.3081993614796</v>
      </c>
      <c r="AY45">
        <f t="shared" si="8"/>
        <v>2191.7147565499454</v>
      </c>
      <c r="AZ45" cm="1">
        <f t="array" ref="AZ45">_xlfn.IFS(E45="H",AW45*AI45-AV45,E45="D",AX45*AJ45-AV45,E45="A",AY45*AK45-AV45)</f>
        <v>162.83659354480005</v>
      </c>
      <c r="BA45">
        <f t="shared" si="9"/>
        <v>1009.4949391004066</v>
      </c>
    </row>
    <row r="46" spans="1:53" x14ac:dyDescent="0.2">
      <c r="A46">
        <v>5</v>
      </c>
      <c r="B46" t="s">
        <v>55</v>
      </c>
      <c r="C46" s="1">
        <v>43729</v>
      </c>
      <c r="D46" t="s">
        <v>73</v>
      </c>
      <c r="E46" t="s">
        <v>49</v>
      </c>
      <c r="F46" t="s">
        <v>117</v>
      </c>
      <c r="G46" t="s">
        <v>118</v>
      </c>
      <c r="H46">
        <v>43588</v>
      </c>
      <c r="I46" t="s">
        <v>119</v>
      </c>
      <c r="J46" t="s">
        <v>120</v>
      </c>
      <c r="K46" t="s">
        <v>54</v>
      </c>
      <c r="L46">
        <v>2019</v>
      </c>
      <c r="M46">
        <v>1</v>
      </c>
      <c r="N46">
        <v>1</v>
      </c>
      <c r="O46">
        <v>0.5</v>
      </c>
      <c r="P46">
        <v>1.5</v>
      </c>
      <c r="Q46">
        <v>1.7</v>
      </c>
      <c r="R46">
        <v>4</v>
      </c>
      <c r="S46">
        <v>4.75</v>
      </c>
      <c r="T46">
        <v>1.7</v>
      </c>
      <c r="U46">
        <v>4</v>
      </c>
      <c r="V46">
        <v>4.75</v>
      </c>
      <c r="W46">
        <v>1.8</v>
      </c>
      <c r="X46">
        <v>3.9</v>
      </c>
      <c r="Y46">
        <v>4.0999999999999996</v>
      </c>
      <c r="Z46">
        <v>1.74</v>
      </c>
      <c r="AA46">
        <v>4.05</v>
      </c>
      <c r="AB46">
        <v>4.76</v>
      </c>
      <c r="AC46">
        <v>1.73</v>
      </c>
      <c r="AD46">
        <v>4</v>
      </c>
      <c r="AE46">
        <v>4.5999999999999996</v>
      </c>
      <c r="AF46">
        <v>1.73</v>
      </c>
      <c r="AG46">
        <v>4.2</v>
      </c>
      <c r="AH46">
        <v>4.33</v>
      </c>
      <c r="AI46">
        <v>1.8</v>
      </c>
      <c r="AJ46">
        <v>4.2</v>
      </c>
      <c r="AK46">
        <v>4.95</v>
      </c>
      <c r="AL46">
        <v>1.73</v>
      </c>
      <c r="AM46">
        <v>4.0199999999999996</v>
      </c>
      <c r="AN46">
        <v>4.54</v>
      </c>
      <c r="AO46">
        <v>1</v>
      </c>
      <c r="AP46">
        <v>223.18840579710101</v>
      </c>
      <c r="AQ46">
        <v>95.652173913043399</v>
      </c>
      <c r="AR46">
        <v>81.159420289855007</v>
      </c>
      <c r="AS46">
        <v>400</v>
      </c>
      <c r="AT46">
        <v>1.73913043478262</v>
      </c>
      <c r="AU46">
        <v>148.36805756041099</v>
      </c>
      <c r="AV46">
        <f t="shared" si="5"/>
        <v>10051.860323065377</v>
      </c>
      <c r="AW46">
        <f t="shared" si="6"/>
        <v>5608.6467020002465</v>
      </c>
      <c r="AX46">
        <f t="shared" si="7"/>
        <v>2403.7057294286774</v>
      </c>
      <c r="AY46">
        <f t="shared" si="8"/>
        <v>2039.5078916364532</v>
      </c>
      <c r="AZ46" cm="1">
        <f t="array" ref="AZ46">_xlfn.IFS(E46="H",AW46*AI46-AV46,E46="D",AX46*AJ46-AV46,E46="A",AY46*AK46-AV46)</f>
        <v>43.703740535067482</v>
      </c>
      <c r="BA46">
        <f t="shared" si="9"/>
        <v>1053.198679635474</v>
      </c>
    </row>
    <row r="47" spans="1:53" x14ac:dyDescent="0.2">
      <c r="A47">
        <v>5</v>
      </c>
      <c r="B47" t="s">
        <v>55</v>
      </c>
      <c r="C47" s="1">
        <v>43729</v>
      </c>
      <c r="D47" t="s">
        <v>145</v>
      </c>
      <c r="E47" t="s">
        <v>74</v>
      </c>
      <c r="F47" t="s">
        <v>136</v>
      </c>
      <c r="G47" t="s">
        <v>154</v>
      </c>
      <c r="H47">
        <v>40550</v>
      </c>
      <c r="I47" t="s">
        <v>138</v>
      </c>
      <c r="J47" t="s">
        <v>161</v>
      </c>
      <c r="K47" t="s">
        <v>54</v>
      </c>
      <c r="L47">
        <v>2019</v>
      </c>
      <c r="M47">
        <v>1.75</v>
      </c>
      <c r="N47">
        <v>2</v>
      </c>
      <c r="O47">
        <v>1.75</v>
      </c>
      <c r="P47">
        <v>2.75</v>
      </c>
      <c r="Q47">
        <v>4.2</v>
      </c>
      <c r="R47">
        <v>4.2</v>
      </c>
      <c r="S47">
        <v>1.72</v>
      </c>
      <c r="T47">
        <v>4.33</v>
      </c>
      <c r="U47">
        <v>4.2</v>
      </c>
      <c r="V47">
        <v>1.72</v>
      </c>
      <c r="W47">
        <v>4.2</v>
      </c>
      <c r="X47">
        <v>4.0999999999999996</v>
      </c>
      <c r="Y47">
        <v>1.75</v>
      </c>
      <c r="Z47">
        <v>4.24</v>
      </c>
      <c r="AA47">
        <v>4.3499999999999996</v>
      </c>
      <c r="AB47">
        <v>1.77</v>
      </c>
      <c r="AC47">
        <v>4.2</v>
      </c>
      <c r="AD47">
        <v>4.2</v>
      </c>
      <c r="AE47">
        <v>1.75</v>
      </c>
      <c r="AF47">
        <v>4</v>
      </c>
      <c r="AG47">
        <v>4.3</v>
      </c>
      <c r="AH47">
        <v>1.8</v>
      </c>
      <c r="AI47">
        <v>4.55</v>
      </c>
      <c r="AJ47">
        <v>4.5</v>
      </c>
      <c r="AK47">
        <v>1.8</v>
      </c>
      <c r="AL47">
        <v>4.1900000000000004</v>
      </c>
      <c r="AM47">
        <v>4.25</v>
      </c>
      <c r="AN47">
        <v>1.75</v>
      </c>
      <c r="AO47">
        <v>1</v>
      </c>
      <c r="AP47">
        <v>88.127294981640105</v>
      </c>
      <c r="AQ47">
        <v>89.106487148102801</v>
      </c>
      <c r="AR47">
        <v>222.76621787025701</v>
      </c>
      <c r="AS47">
        <v>400</v>
      </c>
      <c r="AT47">
        <v>0.979192166462723</v>
      </c>
      <c r="AU47">
        <v>149.347249726874</v>
      </c>
      <c r="AV47">
        <f t="shared" si="5"/>
        <v>11105.059002700851</v>
      </c>
      <c r="AW47">
        <f t="shared" si="6"/>
        <v>2446.6470262988414</v>
      </c>
      <c r="AX47">
        <f t="shared" si="7"/>
        <v>2473.8319932577169</v>
      </c>
      <c r="AY47">
        <f t="shared" si="8"/>
        <v>6184.5799831442937</v>
      </c>
      <c r="AZ47" cm="1">
        <f t="array" ref="AZ47">_xlfn.IFS(E47="H",AW47*AI47-AV47,E47="D",AX47*AJ47-AV47,E47="A",AY47*AK47-AV47)</f>
        <v>27.184966958877339</v>
      </c>
      <c r="BA47">
        <f t="shared" si="9"/>
        <v>1080.3836465943514</v>
      </c>
    </row>
    <row r="48" spans="1:53" x14ac:dyDescent="0.2">
      <c r="A48">
        <v>4</v>
      </c>
      <c r="B48" t="s">
        <v>55</v>
      </c>
      <c r="C48" s="1">
        <v>43729</v>
      </c>
      <c r="D48" t="s">
        <v>143</v>
      </c>
      <c r="E48" t="s">
        <v>74</v>
      </c>
      <c r="F48" t="s">
        <v>195</v>
      </c>
      <c r="G48" t="s">
        <v>123</v>
      </c>
      <c r="H48">
        <v>19611</v>
      </c>
      <c r="I48" t="s">
        <v>196</v>
      </c>
      <c r="J48" t="s">
        <v>156</v>
      </c>
      <c r="K48" t="s">
        <v>54</v>
      </c>
      <c r="L48">
        <v>2019</v>
      </c>
      <c r="M48">
        <v>1.75</v>
      </c>
      <c r="N48">
        <v>1.25</v>
      </c>
      <c r="O48">
        <v>1.5</v>
      </c>
      <c r="P48">
        <v>0.5</v>
      </c>
      <c r="Q48">
        <v>1.9</v>
      </c>
      <c r="R48">
        <v>3.5</v>
      </c>
      <c r="S48">
        <v>4.2</v>
      </c>
      <c r="T48">
        <v>1.91</v>
      </c>
      <c r="U48">
        <v>3.6</v>
      </c>
      <c r="V48">
        <v>4</v>
      </c>
      <c r="W48">
        <v>2</v>
      </c>
      <c r="X48">
        <v>3.4</v>
      </c>
      <c r="Y48">
        <v>3.8</v>
      </c>
      <c r="Z48">
        <v>1.89</v>
      </c>
      <c r="AA48">
        <v>3.64</v>
      </c>
      <c r="AB48">
        <v>4.41</v>
      </c>
      <c r="AC48">
        <v>1.83</v>
      </c>
      <c r="AD48">
        <v>3.6</v>
      </c>
      <c r="AE48">
        <v>4.2</v>
      </c>
      <c r="AF48">
        <v>1.87</v>
      </c>
      <c r="AG48">
        <v>3.5</v>
      </c>
      <c r="AH48">
        <v>4.4000000000000004</v>
      </c>
      <c r="AI48">
        <v>2</v>
      </c>
      <c r="AJ48">
        <v>3.74</v>
      </c>
      <c r="AK48">
        <v>4.41</v>
      </c>
      <c r="AL48">
        <v>1.89</v>
      </c>
      <c r="AM48">
        <v>3.58</v>
      </c>
      <c r="AN48">
        <v>4.16</v>
      </c>
      <c r="AO48">
        <v>1</v>
      </c>
      <c r="AP48">
        <v>201.17950563222999</v>
      </c>
      <c r="AQ48">
        <v>107.582623332743</v>
      </c>
      <c r="AR48">
        <v>91.237871035025293</v>
      </c>
      <c r="AS48">
        <v>400</v>
      </c>
      <c r="AT48">
        <v>2.3590112644617398</v>
      </c>
      <c r="AU48">
        <v>151.70626099133599</v>
      </c>
      <c r="AV48">
        <f t="shared" si="5"/>
        <v>12185.442649295203</v>
      </c>
      <c r="AW48">
        <f t="shared" si="6"/>
        <v>6128.6533202377768</v>
      </c>
      <c r="AX48">
        <f t="shared" si="7"/>
        <v>3277.3547167046931</v>
      </c>
      <c r="AY48">
        <f t="shared" si="8"/>
        <v>2779.4346123527325</v>
      </c>
      <c r="AZ48" cm="1">
        <f t="array" ref="AZ48">_xlfn.IFS(E48="H",AW48*AI48-AV48,E48="D",AX48*AJ48-AV48,E48="A",AY48*AK48-AV48)</f>
        <v>71.863991180347512</v>
      </c>
      <c r="BA48">
        <f t="shared" si="9"/>
        <v>1152.2476377746989</v>
      </c>
    </row>
    <row r="49" spans="1:53" x14ac:dyDescent="0.2">
      <c r="A49">
        <v>4</v>
      </c>
      <c r="B49" t="s">
        <v>55</v>
      </c>
      <c r="C49" s="1">
        <v>43729</v>
      </c>
      <c r="D49" t="s">
        <v>48</v>
      </c>
      <c r="E49" t="s">
        <v>74</v>
      </c>
      <c r="F49" t="s">
        <v>169</v>
      </c>
      <c r="G49" t="s">
        <v>197</v>
      </c>
      <c r="H49">
        <v>70440</v>
      </c>
      <c r="I49" t="s">
        <v>170</v>
      </c>
      <c r="J49" t="s">
        <v>151</v>
      </c>
      <c r="K49" t="s">
        <v>54</v>
      </c>
      <c r="L49">
        <v>2019</v>
      </c>
      <c r="M49">
        <v>3</v>
      </c>
      <c r="N49">
        <v>1.5</v>
      </c>
      <c r="O49">
        <v>1.75</v>
      </c>
      <c r="P49">
        <v>1.5</v>
      </c>
      <c r="Q49">
        <v>3.4</v>
      </c>
      <c r="R49">
        <v>3.3</v>
      </c>
      <c r="S49">
        <v>2.2000000000000002</v>
      </c>
      <c r="T49">
        <v>3.5</v>
      </c>
      <c r="U49">
        <v>3.1</v>
      </c>
      <c r="V49">
        <v>2.25</v>
      </c>
      <c r="W49">
        <v>2.95</v>
      </c>
      <c r="X49">
        <v>3.2</v>
      </c>
      <c r="Y49">
        <v>2.5</v>
      </c>
      <c r="Z49">
        <v>3.43</v>
      </c>
      <c r="AA49">
        <v>3.28</v>
      </c>
      <c r="AB49">
        <v>2.31</v>
      </c>
      <c r="AC49">
        <v>3.3</v>
      </c>
      <c r="AD49">
        <v>3.2</v>
      </c>
      <c r="AE49">
        <v>2.25</v>
      </c>
      <c r="AF49">
        <v>3.5</v>
      </c>
      <c r="AG49">
        <v>3.13</v>
      </c>
      <c r="AH49">
        <v>2.2999999999999998</v>
      </c>
      <c r="AI49">
        <v>3.5</v>
      </c>
      <c r="AJ49">
        <v>3.32</v>
      </c>
      <c r="AK49">
        <v>2.5</v>
      </c>
      <c r="AL49">
        <v>3.37</v>
      </c>
      <c r="AM49">
        <v>3.2</v>
      </c>
      <c r="AN49">
        <v>2.27</v>
      </c>
      <c r="AO49">
        <v>1</v>
      </c>
      <c r="AP49">
        <v>115.80048831531199</v>
      </c>
      <c r="AQ49">
        <v>122.07882804325</v>
      </c>
      <c r="AR49">
        <v>162.12068364143701</v>
      </c>
      <c r="AS49">
        <v>400</v>
      </c>
      <c r="AT49">
        <v>5.3017091035926001</v>
      </c>
      <c r="AU49">
        <v>157.007970094928</v>
      </c>
      <c r="AV49">
        <f t="shared" si="5"/>
        <v>13337.690287069901</v>
      </c>
      <c r="AW49">
        <f t="shared" si="6"/>
        <v>3861.2776206027274</v>
      </c>
      <c r="AX49">
        <f t="shared" si="7"/>
        <v>4070.6239976233569</v>
      </c>
      <c r="AY49">
        <f t="shared" si="8"/>
        <v>5405.7886688438175</v>
      </c>
      <c r="AZ49" cm="1">
        <f t="array" ref="AZ49">_xlfn.IFS(E49="H",AW49*AI49-AV49,E49="D",AX49*AJ49-AV49,E49="A",AY49*AK49-AV49)</f>
        <v>176.78138503964146</v>
      </c>
      <c r="BA49">
        <f t="shared" si="9"/>
        <v>1329.0290228143404</v>
      </c>
    </row>
    <row r="50" spans="1:53" x14ac:dyDescent="0.2">
      <c r="A50">
        <v>6</v>
      </c>
      <c r="B50" t="s">
        <v>55</v>
      </c>
      <c r="C50" s="1">
        <v>43729</v>
      </c>
      <c r="D50" t="s">
        <v>62</v>
      </c>
      <c r="E50" t="s">
        <v>49</v>
      </c>
      <c r="F50" t="s">
        <v>104</v>
      </c>
      <c r="G50" t="s">
        <v>199</v>
      </c>
      <c r="H50">
        <v>16255</v>
      </c>
      <c r="I50" t="s">
        <v>171</v>
      </c>
      <c r="J50" t="s">
        <v>205</v>
      </c>
      <c r="K50" t="s">
        <v>54</v>
      </c>
      <c r="L50">
        <v>2019</v>
      </c>
      <c r="M50">
        <v>1.75</v>
      </c>
      <c r="N50">
        <v>1.5</v>
      </c>
      <c r="O50">
        <v>0</v>
      </c>
      <c r="P50">
        <v>0</v>
      </c>
      <c r="Q50">
        <v>1.7</v>
      </c>
      <c r="R50">
        <v>3.4</v>
      </c>
      <c r="S50">
        <v>5.75</v>
      </c>
      <c r="T50">
        <v>1.7</v>
      </c>
      <c r="U50">
        <v>3.8</v>
      </c>
      <c r="V50">
        <v>5</v>
      </c>
      <c r="W50">
        <v>1.75</v>
      </c>
      <c r="X50">
        <v>3.65</v>
      </c>
      <c r="Y50">
        <v>4.9000000000000004</v>
      </c>
      <c r="Z50">
        <v>1.77</v>
      </c>
      <c r="AA50">
        <v>3.72</v>
      </c>
      <c r="AB50">
        <v>5.08</v>
      </c>
      <c r="AC50">
        <v>1.75</v>
      </c>
      <c r="AD50">
        <v>3.6</v>
      </c>
      <c r="AE50">
        <v>4.8</v>
      </c>
      <c r="AF50">
        <v>1.73</v>
      </c>
      <c r="AG50">
        <v>3.6</v>
      </c>
      <c r="AH50">
        <v>5</v>
      </c>
      <c r="AI50">
        <v>1.81</v>
      </c>
      <c r="AJ50">
        <v>3.8</v>
      </c>
      <c r="AK50">
        <v>5.75</v>
      </c>
      <c r="AL50">
        <v>1.75</v>
      </c>
      <c r="AM50">
        <v>3.64</v>
      </c>
      <c r="AN50">
        <v>4.91</v>
      </c>
      <c r="AO50">
        <v>1</v>
      </c>
      <c r="AP50">
        <v>223.326647161784</v>
      </c>
      <c r="AQ50">
        <v>106.374008253376</v>
      </c>
      <c r="AR50">
        <v>70.299344584839801</v>
      </c>
      <c r="AS50">
        <v>400</v>
      </c>
      <c r="AT50">
        <v>4.2212313628291396</v>
      </c>
      <c r="AU50">
        <v>161.229201457757</v>
      </c>
      <c r="AV50">
        <f t="shared" si="5"/>
        <v>14666.719309884242</v>
      </c>
      <c r="AW50">
        <f t="shared" si="6"/>
        <v>8188.6731208486071</v>
      </c>
      <c r="AX50">
        <f t="shared" si="7"/>
        <v>3900.394302298942</v>
      </c>
      <c r="AY50">
        <f t="shared" si="8"/>
        <v>2577.6518867366922</v>
      </c>
      <c r="AZ50" cm="1">
        <f t="array" ref="AZ50">_xlfn.IFS(E50="H",AW50*AI50-AV50,E50="D",AX50*AJ50-AV50,E50="A",AY50*AK50-AV50)</f>
        <v>154.77903885173691</v>
      </c>
      <c r="BA50">
        <f t="shared" si="9"/>
        <v>1483.8080616660773</v>
      </c>
    </row>
    <row r="51" spans="1:53" x14ac:dyDescent="0.2">
      <c r="A51">
        <v>6</v>
      </c>
      <c r="B51" t="s">
        <v>55</v>
      </c>
      <c r="C51" s="1">
        <v>43729</v>
      </c>
      <c r="D51" t="s">
        <v>62</v>
      </c>
      <c r="E51" t="s">
        <v>57</v>
      </c>
      <c r="F51" t="s">
        <v>63</v>
      </c>
      <c r="G51" t="s">
        <v>96</v>
      </c>
      <c r="H51">
        <v>15213</v>
      </c>
      <c r="I51" t="s">
        <v>65</v>
      </c>
      <c r="J51" t="s">
        <v>53</v>
      </c>
      <c r="K51" t="s">
        <v>54</v>
      </c>
      <c r="L51">
        <v>2019</v>
      </c>
      <c r="M51">
        <v>1</v>
      </c>
      <c r="N51">
        <v>0.75</v>
      </c>
      <c r="O51">
        <v>0.5</v>
      </c>
      <c r="P51">
        <v>0.5</v>
      </c>
      <c r="Q51">
        <v>1.8</v>
      </c>
      <c r="R51">
        <v>3.4</v>
      </c>
      <c r="S51">
        <v>5</v>
      </c>
      <c r="T51">
        <v>1.75</v>
      </c>
      <c r="U51">
        <v>3.5</v>
      </c>
      <c r="V51">
        <v>5.25</v>
      </c>
      <c r="W51">
        <v>1.77</v>
      </c>
      <c r="X51">
        <v>3.5</v>
      </c>
      <c r="Y51">
        <v>4.95</v>
      </c>
      <c r="Z51">
        <v>1.76</v>
      </c>
      <c r="AA51">
        <v>3.55</v>
      </c>
      <c r="AB51">
        <v>5.5</v>
      </c>
      <c r="AC51">
        <v>1.73</v>
      </c>
      <c r="AD51">
        <v>3.4</v>
      </c>
      <c r="AE51">
        <v>5.25</v>
      </c>
      <c r="AF51">
        <v>1.75</v>
      </c>
      <c r="AG51">
        <v>3.5</v>
      </c>
      <c r="AH51">
        <v>5</v>
      </c>
      <c r="AI51">
        <v>1.85</v>
      </c>
      <c r="AJ51">
        <v>3.65</v>
      </c>
      <c r="AK51">
        <v>5.5</v>
      </c>
      <c r="AL51">
        <v>1.77</v>
      </c>
      <c r="AM51">
        <v>3.48</v>
      </c>
      <c r="AN51">
        <v>5.03</v>
      </c>
      <c r="AO51">
        <v>1</v>
      </c>
      <c r="AP51">
        <v>217.01236402945699</v>
      </c>
      <c r="AQ51">
        <v>109.992568069725</v>
      </c>
      <c r="AR51">
        <v>72.995067900817503</v>
      </c>
      <c r="AS51">
        <v>400</v>
      </c>
      <c r="AT51">
        <v>1.47287345449632</v>
      </c>
      <c r="AU51">
        <v>162.70207491225401</v>
      </c>
      <c r="AV51">
        <f t="shared" si="5"/>
        <v>16150.527371550319</v>
      </c>
      <c r="AW51">
        <f t="shared" si="6"/>
        <v>8762.1603130564872</v>
      </c>
      <c r="AX51">
        <f t="shared" si="7"/>
        <v>4441.0949531930146</v>
      </c>
      <c r="AY51">
        <f t="shared" si="8"/>
        <v>2947.2721053008186</v>
      </c>
      <c r="AZ51" cm="1">
        <f t="array" ref="AZ51">_xlfn.IFS(E51="H",AW51*AI51-AV51,E51="D",AX51*AJ51-AV51,E51="A",AY51*AK51-AV51)</f>
        <v>59.469207604184703</v>
      </c>
      <c r="BA51">
        <f t="shared" si="9"/>
        <v>1543.277269270262</v>
      </c>
    </row>
    <row r="52" spans="1:53" x14ac:dyDescent="0.2">
      <c r="C52" s="1"/>
    </row>
    <row r="53" spans="1:53" x14ac:dyDescent="0.2">
      <c r="C53" s="1"/>
    </row>
    <row r="54" spans="1:53" x14ac:dyDescent="0.2">
      <c r="C54" s="1"/>
    </row>
    <row r="55" spans="1:53" x14ac:dyDescent="0.2">
      <c r="C55" s="1"/>
    </row>
    <row r="56" spans="1:53" x14ac:dyDescent="0.2">
      <c r="C56" s="1"/>
    </row>
    <row r="57" spans="1:53" x14ac:dyDescent="0.2">
      <c r="C57" s="1"/>
    </row>
    <row r="58" spans="1:53" x14ac:dyDescent="0.2">
      <c r="C58" s="1"/>
    </row>
    <row r="59" spans="1:53" x14ac:dyDescent="0.2">
      <c r="C59" s="1"/>
    </row>
    <row r="60" spans="1:53" x14ac:dyDescent="0.2">
      <c r="C60" s="1"/>
    </row>
    <row r="61" spans="1:53" x14ac:dyDescent="0.2">
      <c r="C61" s="1"/>
    </row>
    <row r="62" spans="1:53" x14ac:dyDescent="0.2">
      <c r="C62" s="1"/>
    </row>
    <row r="63" spans="1:53" x14ac:dyDescent="0.2">
      <c r="C63" s="1"/>
    </row>
    <row r="64" spans="1:53" x14ac:dyDescent="0.2">
      <c r="C64" s="1"/>
    </row>
    <row r="65" spans="3:3" x14ac:dyDescent="0.2">
      <c r="C65" s="1"/>
    </row>
    <row r="66" spans="3:3" x14ac:dyDescent="0.2">
      <c r="C66" s="1"/>
    </row>
    <row r="67" spans="3:3" x14ac:dyDescent="0.2">
      <c r="C67" s="1"/>
    </row>
    <row r="68" spans="3:3" x14ac:dyDescent="0.2">
      <c r="C68" s="1"/>
    </row>
    <row r="69" spans="3:3" x14ac:dyDescent="0.2">
      <c r="C69" s="1"/>
    </row>
    <row r="70" spans="3:3" x14ac:dyDescent="0.2">
      <c r="C70" s="1"/>
    </row>
    <row r="71" spans="3:3" x14ac:dyDescent="0.2">
      <c r="C71" s="1"/>
    </row>
    <row r="72" spans="3:3" x14ac:dyDescent="0.2">
      <c r="C72" s="1"/>
    </row>
    <row r="73" spans="3:3" x14ac:dyDescent="0.2">
      <c r="C73" s="1"/>
    </row>
    <row r="74" spans="3:3" x14ac:dyDescent="0.2">
      <c r="C74" s="1"/>
    </row>
    <row r="75" spans="3:3" x14ac:dyDescent="0.2">
      <c r="C75" s="1"/>
    </row>
    <row r="76" spans="3:3" x14ac:dyDescent="0.2">
      <c r="C76" s="1"/>
    </row>
    <row r="77" spans="3:3" x14ac:dyDescent="0.2">
      <c r="C77" s="1"/>
    </row>
    <row r="78" spans="3:3" x14ac:dyDescent="0.2">
      <c r="C78" s="1"/>
    </row>
    <row r="79" spans="3:3" x14ac:dyDescent="0.2">
      <c r="C79" s="1"/>
    </row>
    <row r="80" spans="3:3" x14ac:dyDescent="0.2">
      <c r="C80" s="1"/>
    </row>
    <row r="81" spans="3:3" x14ac:dyDescent="0.2">
      <c r="C81" s="1"/>
    </row>
    <row r="82" spans="3:3" x14ac:dyDescent="0.2">
      <c r="C82" s="1"/>
    </row>
    <row r="83" spans="3:3" x14ac:dyDescent="0.2">
      <c r="C83" s="1"/>
    </row>
    <row r="84" spans="3:3" x14ac:dyDescent="0.2">
      <c r="C84" s="1"/>
    </row>
    <row r="85" spans="3:3" x14ac:dyDescent="0.2">
      <c r="C85" s="1"/>
    </row>
    <row r="86" spans="3:3" x14ac:dyDescent="0.2">
      <c r="C86" s="1"/>
    </row>
    <row r="87" spans="3:3" x14ac:dyDescent="0.2">
      <c r="C87" s="1"/>
    </row>
    <row r="88" spans="3:3" x14ac:dyDescent="0.2">
      <c r="C88" s="1"/>
    </row>
    <row r="89" spans="3:3" x14ac:dyDescent="0.2">
      <c r="C89" s="1"/>
    </row>
    <row r="90" spans="3:3" x14ac:dyDescent="0.2">
      <c r="C90" s="1"/>
    </row>
    <row r="91" spans="3:3" x14ac:dyDescent="0.2">
      <c r="C91" s="1"/>
    </row>
    <row r="92" spans="3:3" x14ac:dyDescent="0.2">
      <c r="C92" s="1"/>
    </row>
    <row r="93" spans="3:3" x14ac:dyDescent="0.2">
      <c r="C93" s="1"/>
    </row>
    <row r="94" spans="3:3" x14ac:dyDescent="0.2">
      <c r="C94" s="1"/>
    </row>
    <row r="95" spans="3:3" x14ac:dyDescent="0.2">
      <c r="C95" s="1"/>
    </row>
    <row r="96" spans="3:3" x14ac:dyDescent="0.2">
      <c r="C96" s="1"/>
    </row>
    <row r="97" spans="3:3" x14ac:dyDescent="0.2">
      <c r="C97" s="1"/>
    </row>
    <row r="98" spans="3:3" x14ac:dyDescent="0.2">
      <c r="C98" s="1"/>
    </row>
    <row r="99" spans="3:3" x14ac:dyDescent="0.2">
      <c r="C99" s="1"/>
    </row>
    <row r="100" spans="3:3" x14ac:dyDescent="0.2">
      <c r="C100" s="1"/>
    </row>
    <row r="101" spans="3:3" x14ac:dyDescent="0.2">
      <c r="C101" s="1"/>
    </row>
    <row r="102" spans="3:3" x14ac:dyDescent="0.2">
      <c r="C102" s="1"/>
    </row>
    <row r="103" spans="3:3" x14ac:dyDescent="0.2">
      <c r="C103" s="1"/>
    </row>
    <row r="104" spans="3:3" x14ac:dyDescent="0.2">
      <c r="C104" s="1"/>
    </row>
    <row r="105" spans="3:3" x14ac:dyDescent="0.2">
      <c r="C105" s="1"/>
    </row>
    <row r="106" spans="3:3" x14ac:dyDescent="0.2">
      <c r="C106" s="1"/>
    </row>
    <row r="107" spans="3:3" x14ac:dyDescent="0.2">
      <c r="C107" s="1"/>
    </row>
    <row r="108" spans="3:3" x14ac:dyDescent="0.2">
      <c r="C108" s="1"/>
    </row>
    <row r="109" spans="3:3" x14ac:dyDescent="0.2">
      <c r="C109" s="1"/>
    </row>
    <row r="110" spans="3:3" x14ac:dyDescent="0.2">
      <c r="C110" s="1"/>
    </row>
    <row r="111" spans="3:3" x14ac:dyDescent="0.2">
      <c r="C111" s="1"/>
    </row>
    <row r="112" spans="3:3" x14ac:dyDescent="0.2">
      <c r="C112" s="1"/>
    </row>
    <row r="113" spans="3:3" x14ac:dyDescent="0.2">
      <c r="C113" s="1"/>
    </row>
    <row r="114" spans="3:3" x14ac:dyDescent="0.2">
      <c r="C114" s="1"/>
    </row>
    <row r="115" spans="3:3" x14ac:dyDescent="0.2">
      <c r="C115" s="1"/>
    </row>
    <row r="116" spans="3:3" x14ac:dyDescent="0.2">
      <c r="C116" s="1"/>
    </row>
    <row r="117" spans="3:3" x14ac:dyDescent="0.2">
      <c r="C117" s="1"/>
    </row>
    <row r="118" spans="3:3" x14ac:dyDescent="0.2">
      <c r="C118" s="1"/>
    </row>
    <row r="119" spans="3:3" x14ac:dyDescent="0.2">
      <c r="C119" s="1"/>
    </row>
    <row r="120" spans="3:3" x14ac:dyDescent="0.2">
      <c r="C120" s="1"/>
    </row>
    <row r="121" spans="3:3" x14ac:dyDescent="0.2">
      <c r="C121" s="1"/>
    </row>
    <row r="122" spans="3:3" x14ac:dyDescent="0.2">
      <c r="C122" s="1"/>
    </row>
    <row r="123" spans="3:3" x14ac:dyDescent="0.2">
      <c r="C123" s="1"/>
    </row>
    <row r="124" spans="3:3" x14ac:dyDescent="0.2">
      <c r="C124" s="1"/>
    </row>
    <row r="125" spans="3:3" x14ac:dyDescent="0.2">
      <c r="C125" s="1"/>
    </row>
    <row r="126" spans="3:3" x14ac:dyDescent="0.2">
      <c r="C126" s="1"/>
    </row>
    <row r="127" spans="3:3" x14ac:dyDescent="0.2">
      <c r="C127" s="1"/>
    </row>
    <row r="128" spans="3:3" x14ac:dyDescent="0.2">
      <c r="C128" s="1"/>
    </row>
    <row r="129" spans="3:3" x14ac:dyDescent="0.2">
      <c r="C129" s="1"/>
    </row>
    <row r="130" spans="3:3" x14ac:dyDescent="0.2">
      <c r="C130" s="1"/>
    </row>
    <row r="131" spans="3:3" x14ac:dyDescent="0.2">
      <c r="C131" s="1"/>
    </row>
    <row r="132" spans="3:3" x14ac:dyDescent="0.2">
      <c r="C132" s="1"/>
    </row>
    <row r="133" spans="3:3" x14ac:dyDescent="0.2">
      <c r="C133" s="1"/>
    </row>
    <row r="134" spans="3:3" x14ac:dyDescent="0.2">
      <c r="C134" s="1"/>
    </row>
    <row r="135" spans="3:3" x14ac:dyDescent="0.2">
      <c r="C135" s="1"/>
    </row>
    <row r="136" spans="3:3" x14ac:dyDescent="0.2">
      <c r="C136" s="1"/>
    </row>
    <row r="137" spans="3:3" x14ac:dyDescent="0.2">
      <c r="C137" s="1"/>
    </row>
    <row r="138" spans="3:3" x14ac:dyDescent="0.2">
      <c r="C138" s="1"/>
    </row>
    <row r="139" spans="3:3" x14ac:dyDescent="0.2">
      <c r="C139" s="1"/>
    </row>
    <row r="140" spans="3:3" x14ac:dyDescent="0.2">
      <c r="C140" s="1"/>
    </row>
    <row r="141" spans="3:3" x14ac:dyDescent="0.2">
      <c r="C141" s="1"/>
    </row>
    <row r="142" spans="3:3" x14ac:dyDescent="0.2">
      <c r="C142" s="1"/>
    </row>
    <row r="143" spans="3:3" x14ac:dyDescent="0.2">
      <c r="C143" s="1"/>
    </row>
    <row r="144" spans="3:3" x14ac:dyDescent="0.2">
      <c r="C144" s="1"/>
    </row>
    <row r="145" spans="3:3" x14ac:dyDescent="0.2">
      <c r="C145" s="1"/>
    </row>
    <row r="146" spans="3:3" x14ac:dyDescent="0.2">
      <c r="C146" s="1"/>
    </row>
    <row r="147" spans="3:3" x14ac:dyDescent="0.2">
      <c r="C147" s="1"/>
    </row>
    <row r="148" spans="3:3" x14ac:dyDescent="0.2">
      <c r="C148" s="1"/>
    </row>
    <row r="149" spans="3:3" x14ac:dyDescent="0.2">
      <c r="C149" s="1"/>
    </row>
    <row r="150" spans="3:3" x14ac:dyDescent="0.2">
      <c r="C150" s="1"/>
    </row>
    <row r="151" spans="3:3" x14ac:dyDescent="0.2">
      <c r="C151" s="1"/>
    </row>
    <row r="152" spans="3:3" x14ac:dyDescent="0.2">
      <c r="C152" s="1"/>
    </row>
    <row r="153" spans="3:3" x14ac:dyDescent="0.2">
      <c r="C153" s="1"/>
    </row>
    <row r="154" spans="3:3" x14ac:dyDescent="0.2">
      <c r="C154" s="1"/>
    </row>
    <row r="155" spans="3:3" x14ac:dyDescent="0.2">
      <c r="C155" s="1"/>
    </row>
    <row r="156" spans="3:3" x14ac:dyDescent="0.2">
      <c r="C156" s="1"/>
    </row>
    <row r="157" spans="3:3" x14ac:dyDescent="0.2">
      <c r="C157" s="1"/>
    </row>
    <row r="158" spans="3:3" x14ac:dyDescent="0.2">
      <c r="C158" s="1"/>
    </row>
    <row r="159" spans="3:3" x14ac:dyDescent="0.2">
      <c r="C159" s="1"/>
    </row>
    <row r="160" spans="3:3" x14ac:dyDescent="0.2">
      <c r="C160" s="1"/>
    </row>
    <row r="161" spans="3:46" x14ac:dyDescent="0.2">
      <c r="C161" s="1"/>
    </row>
    <row r="162" spans="3:46" x14ac:dyDescent="0.2">
      <c r="C162" s="1"/>
    </row>
    <row r="163" spans="3:46" x14ac:dyDescent="0.2">
      <c r="C163" s="1"/>
    </row>
    <row r="164" spans="3:46" x14ac:dyDescent="0.2">
      <c r="C164" s="1"/>
    </row>
    <row r="165" spans="3:46" x14ac:dyDescent="0.2">
      <c r="C165" s="1"/>
    </row>
    <row r="166" spans="3:46" x14ac:dyDescent="0.2">
      <c r="C166" s="1"/>
    </row>
    <row r="167" spans="3:46" x14ac:dyDescent="0.2">
      <c r="C167" s="1"/>
    </row>
    <row r="168" spans="3:46" x14ac:dyDescent="0.2">
      <c r="C168" s="1"/>
    </row>
    <row r="169" spans="3:46" x14ac:dyDescent="0.2">
      <c r="C169" s="1"/>
    </row>
    <row r="170" spans="3:46" x14ac:dyDescent="0.2">
      <c r="C170" s="1"/>
    </row>
    <row r="171" spans="3:46" x14ac:dyDescent="0.2">
      <c r="C171" s="1"/>
      <c r="AT171" s="2"/>
    </row>
    <row r="172" spans="3:46" x14ac:dyDescent="0.2">
      <c r="C172" s="1"/>
    </row>
    <row r="173" spans="3:46" x14ac:dyDescent="0.2">
      <c r="C173" s="1"/>
    </row>
    <row r="174" spans="3:46" x14ac:dyDescent="0.2">
      <c r="C174" s="1"/>
    </row>
    <row r="175" spans="3:46" x14ac:dyDescent="0.2">
      <c r="C175" s="1"/>
    </row>
    <row r="176" spans="3:46" x14ac:dyDescent="0.2">
      <c r="C176" s="1"/>
    </row>
    <row r="177" spans="3:46" x14ac:dyDescent="0.2">
      <c r="C177" s="1"/>
    </row>
    <row r="178" spans="3:46" x14ac:dyDescent="0.2">
      <c r="C178" s="1"/>
    </row>
    <row r="179" spans="3:46" x14ac:dyDescent="0.2">
      <c r="C179" s="1"/>
    </row>
    <row r="180" spans="3:46" x14ac:dyDescent="0.2">
      <c r="C180" s="1"/>
    </row>
    <row r="181" spans="3:46" x14ac:dyDescent="0.2">
      <c r="C181" s="1"/>
    </row>
    <row r="182" spans="3:46" x14ac:dyDescent="0.2">
      <c r="C182" s="1"/>
    </row>
    <row r="183" spans="3:46" x14ac:dyDescent="0.2">
      <c r="C183" s="1"/>
    </row>
    <row r="184" spans="3:46" x14ac:dyDescent="0.2">
      <c r="C184" s="1"/>
    </row>
    <row r="185" spans="3:46" x14ac:dyDescent="0.2">
      <c r="C185" s="1"/>
    </row>
    <row r="186" spans="3:46" x14ac:dyDescent="0.2">
      <c r="C186" s="1"/>
    </row>
    <row r="187" spans="3:46" x14ac:dyDescent="0.2">
      <c r="C187" s="1"/>
    </row>
    <row r="188" spans="3:46" x14ac:dyDescent="0.2">
      <c r="C188" s="1"/>
    </row>
    <row r="189" spans="3:46" x14ac:dyDescent="0.2">
      <c r="C189" s="1"/>
    </row>
    <row r="190" spans="3:46" x14ac:dyDescent="0.2">
      <c r="C190" s="1"/>
    </row>
    <row r="191" spans="3:46" x14ac:dyDescent="0.2">
      <c r="C191" s="1"/>
      <c r="AT191" s="2"/>
    </row>
    <row r="192" spans="3:46" x14ac:dyDescent="0.2">
      <c r="C192" s="1"/>
    </row>
    <row r="193" spans="3:3" x14ac:dyDescent="0.2">
      <c r="C193" s="1"/>
    </row>
    <row r="194" spans="3:3" x14ac:dyDescent="0.2">
      <c r="C194" s="1"/>
    </row>
    <row r="195" spans="3:3" x14ac:dyDescent="0.2">
      <c r="C195" s="1"/>
    </row>
    <row r="196" spans="3:3" x14ac:dyDescent="0.2">
      <c r="C196" s="1"/>
    </row>
    <row r="197" spans="3:3" x14ac:dyDescent="0.2">
      <c r="C197" s="1"/>
    </row>
    <row r="198" spans="3:3" x14ac:dyDescent="0.2">
      <c r="C198" s="1"/>
    </row>
    <row r="199" spans="3:3" x14ac:dyDescent="0.2">
      <c r="C199" s="1"/>
    </row>
    <row r="200" spans="3:3" x14ac:dyDescent="0.2">
      <c r="C200" s="1"/>
    </row>
    <row r="201" spans="3:3" x14ac:dyDescent="0.2">
      <c r="C201" s="1"/>
    </row>
    <row r="202" spans="3:3" x14ac:dyDescent="0.2">
      <c r="C202" s="1"/>
    </row>
    <row r="203" spans="3:3" x14ac:dyDescent="0.2">
      <c r="C203" s="1"/>
    </row>
    <row r="204" spans="3:3" x14ac:dyDescent="0.2">
      <c r="C204" s="1"/>
    </row>
    <row r="205" spans="3:3" x14ac:dyDescent="0.2">
      <c r="C205" s="1"/>
    </row>
    <row r="206" spans="3:3" x14ac:dyDescent="0.2">
      <c r="C206" s="1"/>
    </row>
    <row r="207" spans="3:3" x14ac:dyDescent="0.2">
      <c r="C207" s="1"/>
    </row>
    <row r="208" spans="3:3" x14ac:dyDescent="0.2">
      <c r="C208" s="1"/>
    </row>
    <row r="209" spans="3:3" x14ac:dyDescent="0.2">
      <c r="C209" s="1"/>
    </row>
    <row r="210" spans="3:3" x14ac:dyDescent="0.2">
      <c r="C210" s="1"/>
    </row>
    <row r="211" spans="3:3" x14ac:dyDescent="0.2">
      <c r="C211" s="1"/>
    </row>
    <row r="212" spans="3:3" x14ac:dyDescent="0.2">
      <c r="C212" s="1"/>
    </row>
    <row r="213" spans="3:3" x14ac:dyDescent="0.2">
      <c r="C213" s="1"/>
    </row>
    <row r="214" spans="3:3" x14ac:dyDescent="0.2">
      <c r="C214" s="1"/>
    </row>
    <row r="215" spans="3:3" x14ac:dyDescent="0.2">
      <c r="C215" s="1"/>
    </row>
    <row r="216" spans="3:3" x14ac:dyDescent="0.2">
      <c r="C216" s="1"/>
    </row>
    <row r="217" spans="3:3" x14ac:dyDescent="0.2">
      <c r="C217" s="1"/>
    </row>
    <row r="218" spans="3:3" x14ac:dyDescent="0.2">
      <c r="C218" s="1"/>
    </row>
    <row r="219" spans="3:3" x14ac:dyDescent="0.2">
      <c r="C219" s="1"/>
    </row>
    <row r="220" spans="3:3" x14ac:dyDescent="0.2">
      <c r="C220" s="1"/>
    </row>
    <row r="221" spans="3:3" x14ac:dyDescent="0.2">
      <c r="C221" s="1"/>
    </row>
    <row r="222" spans="3:3" x14ac:dyDescent="0.2">
      <c r="C222" s="1"/>
    </row>
    <row r="223" spans="3:3" x14ac:dyDescent="0.2">
      <c r="C223" s="1"/>
    </row>
    <row r="224" spans="3:3" x14ac:dyDescent="0.2">
      <c r="C224" s="1"/>
    </row>
    <row r="225" spans="3:3" x14ac:dyDescent="0.2">
      <c r="C225" s="1"/>
    </row>
    <row r="226" spans="3:3" x14ac:dyDescent="0.2">
      <c r="C226" s="1"/>
    </row>
    <row r="227" spans="3:3" x14ac:dyDescent="0.2">
      <c r="C227" s="1"/>
    </row>
    <row r="228" spans="3:3" x14ac:dyDescent="0.2">
      <c r="C228" s="1"/>
    </row>
    <row r="229" spans="3:3" x14ac:dyDescent="0.2">
      <c r="C229" s="1"/>
    </row>
    <row r="230" spans="3:3" x14ac:dyDescent="0.2">
      <c r="C230" s="1"/>
    </row>
    <row r="231" spans="3:3" x14ac:dyDescent="0.2">
      <c r="C231" s="1"/>
    </row>
    <row r="232" spans="3:3" x14ac:dyDescent="0.2">
      <c r="C232" s="1"/>
    </row>
    <row r="233" spans="3:3" x14ac:dyDescent="0.2">
      <c r="C233" s="1"/>
    </row>
    <row r="234" spans="3:3" x14ac:dyDescent="0.2">
      <c r="C234" s="1"/>
    </row>
    <row r="235" spans="3:3" x14ac:dyDescent="0.2">
      <c r="C235" s="1"/>
    </row>
    <row r="236" spans="3:3" x14ac:dyDescent="0.2">
      <c r="C236" s="1"/>
    </row>
    <row r="237" spans="3:3" x14ac:dyDescent="0.2">
      <c r="C237" s="1"/>
    </row>
    <row r="238" spans="3:3" x14ac:dyDescent="0.2">
      <c r="C238" s="1"/>
    </row>
    <row r="239" spans="3:3" x14ac:dyDescent="0.2">
      <c r="C239" s="1"/>
    </row>
    <row r="240" spans="3:3" x14ac:dyDescent="0.2">
      <c r="C240" s="1"/>
    </row>
    <row r="241" spans="3:3" x14ac:dyDescent="0.2">
      <c r="C241" s="1"/>
    </row>
    <row r="242" spans="3:3" x14ac:dyDescent="0.2">
      <c r="C242" s="1"/>
    </row>
    <row r="243" spans="3:3" x14ac:dyDescent="0.2">
      <c r="C243" s="1"/>
    </row>
    <row r="244" spans="3:3" x14ac:dyDescent="0.2">
      <c r="C244" s="1"/>
    </row>
    <row r="245" spans="3:3" x14ac:dyDescent="0.2">
      <c r="C245" s="1"/>
    </row>
    <row r="246" spans="3:3" x14ac:dyDescent="0.2">
      <c r="C246" s="1"/>
    </row>
    <row r="247" spans="3:3" x14ac:dyDescent="0.2">
      <c r="C247" s="1"/>
    </row>
    <row r="248" spans="3:3" x14ac:dyDescent="0.2">
      <c r="C248" s="1"/>
    </row>
    <row r="249" spans="3:3" x14ac:dyDescent="0.2">
      <c r="C249" s="1"/>
    </row>
    <row r="250" spans="3:3" x14ac:dyDescent="0.2">
      <c r="C250" s="1"/>
    </row>
    <row r="251" spans="3:3" x14ac:dyDescent="0.2">
      <c r="C251" s="1"/>
    </row>
    <row r="252" spans="3:3" x14ac:dyDescent="0.2">
      <c r="C252" s="1"/>
    </row>
    <row r="253" spans="3:3" x14ac:dyDescent="0.2">
      <c r="C253" s="1"/>
    </row>
    <row r="254" spans="3:3" x14ac:dyDescent="0.2">
      <c r="C254" s="1"/>
    </row>
    <row r="255" spans="3:3" x14ac:dyDescent="0.2">
      <c r="C255" s="1"/>
    </row>
    <row r="256" spans="3:3" x14ac:dyDescent="0.2">
      <c r="C256" s="1"/>
    </row>
    <row r="257" spans="3:3" x14ac:dyDescent="0.2">
      <c r="C257" s="1"/>
    </row>
    <row r="258" spans="3:3" x14ac:dyDescent="0.2">
      <c r="C258" s="1"/>
    </row>
    <row r="259" spans="3:3" x14ac:dyDescent="0.2">
      <c r="C259" s="1"/>
    </row>
    <row r="260" spans="3:3" x14ac:dyDescent="0.2">
      <c r="C260" s="1"/>
    </row>
    <row r="261" spans="3:3" x14ac:dyDescent="0.2">
      <c r="C261" s="1"/>
    </row>
    <row r="262" spans="3:3" x14ac:dyDescent="0.2">
      <c r="C262" s="1"/>
    </row>
    <row r="263" spans="3:3" x14ac:dyDescent="0.2">
      <c r="C263" s="1"/>
    </row>
    <row r="264" spans="3:3" x14ac:dyDescent="0.2">
      <c r="C264" s="1"/>
    </row>
    <row r="265" spans="3:3" x14ac:dyDescent="0.2">
      <c r="C265" s="1"/>
    </row>
    <row r="266" spans="3:3" x14ac:dyDescent="0.2">
      <c r="C266" s="1"/>
    </row>
    <row r="267" spans="3:3" x14ac:dyDescent="0.2">
      <c r="C267" s="1"/>
    </row>
    <row r="268" spans="3:3" x14ac:dyDescent="0.2">
      <c r="C268" s="1"/>
    </row>
    <row r="269" spans="3:3" x14ac:dyDescent="0.2">
      <c r="C269" s="1"/>
    </row>
    <row r="270" spans="3:3" x14ac:dyDescent="0.2">
      <c r="C270" s="1"/>
    </row>
    <row r="271" spans="3:3" x14ac:dyDescent="0.2">
      <c r="C271" s="1"/>
    </row>
    <row r="272" spans="3:3" x14ac:dyDescent="0.2">
      <c r="C272" s="1"/>
    </row>
    <row r="273" spans="3:3" x14ac:dyDescent="0.2">
      <c r="C273" s="1"/>
    </row>
    <row r="274" spans="3:3" x14ac:dyDescent="0.2">
      <c r="C274" s="1"/>
    </row>
    <row r="275" spans="3:3" x14ac:dyDescent="0.2">
      <c r="C275" s="1"/>
    </row>
    <row r="276" spans="3:3" x14ac:dyDescent="0.2">
      <c r="C276" s="1"/>
    </row>
    <row r="277" spans="3:3" x14ac:dyDescent="0.2">
      <c r="C277" s="1"/>
    </row>
    <row r="278" spans="3:3" x14ac:dyDescent="0.2">
      <c r="C278" s="1"/>
    </row>
    <row r="279" spans="3:3" x14ac:dyDescent="0.2">
      <c r="C279" s="1"/>
    </row>
    <row r="280" spans="3:3" x14ac:dyDescent="0.2">
      <c r="C280" s="1"/>
    </row>
    <row r="281" spans="3:3" x14ac:dyDescent="0.2">
      <c r="C281" s="1"/>
    </row>
    <row r="282" spans="3:3" x14ac:dyDescent="0.2">
      <c r="C282" s="1"/>
    </row>
    <row r="283" spans="3:3" x14ac:dyDescent="0.2">
      <c r="C283" s="1"/>
    </row>
    <row r="284" spans="3:3" x14ac:dyDescent="0.2">
      <c r="C284" s="1"/>
    </row>
    <row r="285" spans="3:3" x14ac:dyDescent="0.2">
      <c r="C285" s="1"/>
    </row>
    <row r="286" spans="3:3" x14ac:dyDescent="0.2">
      <c r="C286" s="1"/>
    </row>
    <row r="287" spans="3:3" x14ac:dyDescent="0.2">
      <c r="C287" s="1"/>
    </row>
    <row r="288" spans="3:3" x14ac:dyDescent="0.2">
      <c r="C288" s="1"/>
    </row>
    <row r="289" spans="3:3" x14ac:dyDescent="0.2">
      <c r="C289" s="1"/>
    </row>
    <row r="290" spans="3:3" x14ac:dyDescent="0.2">
      <c r="C290" s="1"/>
    </row>
    <row r="291" spans="3:3" x14ac:dyDescent="0.2">
      <c r="C291" s="1"/>
    </row>
    <row r="292" spans="3:3" x14ac:dyDescent="0.2">
      <c r="C292" s="1"/>
    </row>
    <row r="293" spans="3:3" x14ac:dyDescent="0.2">
      <c r="C293" s="1"/>
    </row>
    <row r="294" spans="3:3" x14ac:dyDescent="0.2">
      <c r="C294" s="1"/>
    </row>
    <row r="295" spans="3:3" x14ac:dyDescent="0.2">
      <c r="C295" s="1"/>
    </row>
    <row r="296" spans="3:3" x14ac:dyDescent="0.2">
      <c r="C296" s="1"/>
    </row>
    <row r="297" spans="3:3" x14ac:dyDescent="0.2">
      <c r="C297" s="1"/>
    </row>
    <row r="298" spans="3:3" x14ac:dyDescent="0.2">
      <c r="C298" s="1"/>
    </row>
    <row r="299" spans="3:3" x14ac:dyDescent="0.2">
      <c r="C299" s="1"/>
    </row>
    <row r="300" spans="3:3" x14ac:dyDescent="0.2">
      <c r="C300" s="1"/>
    </row>
    <row r="301" spans="3:3" x14ac:dyDescent="0.2">
      <c r="C301" s="1"/>
    </row>
    <row r="302" spans="3:3" x14ac:dyDescent="0.2">
      <c r="C302" s="1"/>
    </row>
    <row r="303" spans="3:3" x14ac:dyDescent="0.2">
      <c r="C303" s="1"/>
    </row>
    <row r="304" spans="3:3" x14ac:dyDescent="0.2">
      <c r="C304" s="1"/>
    </row>
    <row r="305" spans="3:46" x14ac:dyDescent="0.2">
      <c r="C305" s="1"/>
    </row>
    <row r="306" spans="3:46" x14ac:dyDescent="0.2">
      <c r="C306" s="1"/>
    </row>
    <row r="307" spans="3:46" x14ac:dyDescent="0.2">
      <c r="C307" s="1"/>
    </row>
    <row r="308" spans="3:46" x14ac:dyDescent="0.2">
      <c r="C308" s="1"/>
      <c r="AT308" s="2"/>
    </row>
    <row r="309" spans="3:46" x14ac:dyDescent="0.2">
      <c r="C309" s="1"/>
    </row>
    <row r="310" spans="3:46" x14ac:dyDescent="0.2">
      <c r="C310" s="1"/>
    </row>
    <row r="311" spans="3:46" x14ac:dyDescent="0.2">
      <c r="C311" s="1"/>
    </row>
    <row r="312" spans="3:46" x14ac:dyDescent="0.2">
      <c r="C312" s="1"/>
    </row>
    <row r="313" spans="3:46" x14ac:dyDescent="0.2">
      <c r="C313" s="1"/>
    </row>
    <row r="314" spans="3:46" x14ac:dyDescent="0.2">
      <c r="C314" s="1"/>
    </row>
    <row r="315" spans="3:46" x14ac:dyDescent="0.2">
      <c r="C315" s="1"/>
    </row>
    <row r="316" spans="3:46" x14ac:dyDescent="0.2">
      <c r="C316" s="1"/>
    </row>
    <row r="317" spans="3:46" x14ac:dyDescent="0.2">
      <c r="C317" s="1"/>
    </row>
    <row r="318" spans="3:46" x14ac:dyDescent="0.2">
      <c r="C318" s="1"/>
    </row>
    <row r="319" spans="3:46" x14ac:dyDescent="0.2">
      <c r="C319" s="1"/>
    </row>
    <row r="320" spans="3:46" x14ac:dyDescent="0.2">
      <c r="C320" s="1"/>
    </row>
    <row r="321" spans="3:46" x14ac:dyDescent="0.2">
      <c r="C321" s="1"/>
    </row>
    <row r="322" spans="3:46" x14ac:dyDescent="0.2">
      <c r="C322" s="1"/>
    </row>
    <row r="323" spans="3:46" x14ac:dyDescent="0.2">
      <c r="C323" s="1"/>
      <c r="AT323" s="2"/>
    </row>
    <row r="324" spans="3:46" x14ac:dyDescent="0.2">
      <c r="C324" s="1"/>
    </row>
    <row r="325" spans="3:46" x14ac:dyDescent="0.2">
      <c r="C325" s="1"/>
    </row>
    <row r="326" spans="3:46" x14ac:dyDescent="0.2">
      <c r="C326" s="1"/>
    </row>
    <row r="327" spans="3:46" x14ac:dyDescent="0.2">
      <c r="C327" s="1"/>
    </row>
    <row r="328" spans="3:46" x14ac:dyDescent="0.2">
      <c r="C328" s="1"/>
    </row>
    <row r="329" spans="3:46" x14ac:dyDescent="0.2">
      <c r="C329" s="1"/>
    </row>
    <row r="330" spans="3:46" x14ac:dyDescent="0.2">
      <c r="C330" s="1"/>
    </row>
    <row r="331" spans="3:46" x14ac:dyDescent="0.2">
      <c r="C331" s="1"/>
    </row>
    <row r="332" spans="3:46" x14ac:dyDescent="0.2">
      <c r="C332" s="1"/>
    </row>
    <row r="333" spans="3:46" x14ac:dyDescent="0.2">
      <c r="C333" s="1"/>
    </row>
    <row r="334" spans="3:46" x14ac:dyDescent="0.2">
      <c r="C334" s="1"/>
    </row>
    <row r="335" spans="3:46" x14ac:dyDescent="0.2">
      <c r="C335" s="1"/>
    </row>
    <row r="336" spans="3:46" x14ac:dyDescent="0.2">
      <c r="C336" s="1"/>
    </row>
    <row r="337" spans="3:3" x14ac:dyDescent="0.2">
      <c r="C337" s="1"/>
    </row>
    <row r="338" spans="3:3" x14ac:dyDescent="0.2">
      <c r="C338" s="1"/>
    </row>
    <row r="339" spans="3:3" x14ac:dyDescent="0.2">
      <c r="C339" s="1"/>
    </row>
    <row r="340" spans="3:3" x14ac:dyDescent="0.2">
      <c r="C340" s="1"/>
    </row>
    <row r="341" spans="3:3" x14ac:dyDescent="0.2">
      <c r="C341" s="1"/>
    </row>
    <row r="342" spans="3:3" x14ac:dyDescent="0.2">
      <c r="C342" s="1"/>
    </row>
    <row r="343" spans="3:3" x14ac:dyDescent="0.2">
      <c r="C343" s="1"/>
    </row>
    <row r="344" spans="3:3" x14ac:dyDescent="0.2">
      <c r="C344" s="1"/>
    </row>
    <row r="345" spans="3:3" x14ac:dyDescent="0.2">
      <c r="C345" s="1"/>
    </row>
    <row r="346" spans="3:3" x14ac:dyDescent="0.2">
      <c r="C346" s="1"/>
    </row>
    <row r="347" spans="3:3" x14ac:dyDescent="0.2">
      <c r="C347" s="1"/>
    </row>
    <row r="348" spans="3:3" x14ac:dyDescent="0.2">
      <c r="C348" s="1"/>
    </row>
    <row r="349" spans="3:3" x14ac:dyDescent="0.2">
      <c r="C349" s="1"/>
    </row>
    <row r="350" spans="3:3" x14ac:dyDescent="0.2">
      <c r="C350" s="1"/>
    </row>
    <row r="351" spans="3:3" x14ac:dyDescent="0.2">
      <c r="C351" s="1"/>
    </row>
    <row r="352" spans="3:3" x14ac:dyDescent="0.2">
      <c r="C352" s="1"/>
    </row>
    <row r="353" spans="3:3" x14ac:dyDescent="0.2">
      <c r="C353" s="1"/>
    </row>
    <row r="354" spans="3:3" x14ac:dyDescent="0.2">
      <c r="C354" s="1"/>
    </row>
    <row r="355" spans="3:3" x14ac:dyDescent="0.2">
      <c r="C355" s="1"/>
    </row>
    <row r="356" spans="3:3" x14ac:dyDescent="0.2">
      <c r="C356" s="1"/>
    </row>
    <row r="357" spans="3:3" x14ac:dyDescent="0.2">
      <c r="C357" s="1"/>
    </row>
    <row r="358" spans="3:3" x14ac:dyDescent="0.2">
      <c r="C358" s="1"/>
    </row>
    <row r="359" spans="3:3" x14ac:dyDescent="0.2">
      <c r="C359" s="1"/>
    </row>
    <row r="360" spans="3:3" x14ac:dyDescent="0.2">
      <c r="C360" s="1"/>
    </row>
    <row r="361" spans="3:3" x14ac:dyDescent="0.2">
      <c r="C361" s="1"/>
    </row>
    <row r="362" spans="3:3" x14ac:dyDescent="0.2">
      <c r="C362" s="1"/>
    </row>
    <row r="363" spans="3:3" x14ac:dyDescent="0.2">
      <c r="C363" s="1"/>
    </row>
    <row r="364" spans="3:3" x14ac:dyDescent="0.2">
      <c r="C364" s="1"/>
    </row>
    <row r="365" spans="3:3" x14ac:dyDescent="0.2">
      <c r="C365" s="1"/>
    </row>
    <row r="366" spans="3:3" x14ac:dyDescent="0.2">
      <c r="C366" s="1"/>
    </row>
    <row r="367" spans="3:3" x14ac:dyDescent="0.2">
      <c r="C367" s="1"/>
    </row>
    <row r="368" spans="3:3" x14ac:dyDescent="0.2">
      <c r="C368" s="1"/>
    </row>
    <row r="369" spans="3:3" x14ac:dyDescent="0.2">
      <c r="C369" s="1"/>
    </row>
    <row r="370" spans="3:3" x14ac:dyDescent="0.2">
      <c r="C370" s="1"/>
    </row>
    <row r="371" spans="3:3" x14ac:dyDescent="0.2">
      <c r="C371" s="1"/>
    </row>
    <row r="372" spans="3:3" x14ac:dyDescent="0.2">
      <c r="C372" s="1"/>
    </row>
    <row r="373" spans="3:3" x14ac:dyDescent="0.2">
      <c r="C373" s="1"/>
    </row>
    <row r="374" spans="3:3" x14ac:dyDescent="0.2">
      <c r="C374" s="1"/>
    </row>
    <row r="375" spans="3:3" x14ac:dyDescent="0.2">
      <c r="C375" s="1"/>
    </row>
    <row r="376" spans="3:3" x14ac:dyDescent="0.2">
      <c r="C376" s="1"/>
    </row>
    <row r="377" spans="3:3" x14ac:dyDescent="0.2">
      <c r="C377" s="1"/>
    </row>
    <row r="378" spans="3:3" x14ac:dyDescent="0.2">
      <c r="C378" s="1"/>
    </row>
    <row r="379" spans="3:3" x14ac:dyDescent="0.2">
      <c r="C379" s="1"/>
    </row>
    <row r="380" spans="3:3" x14ac:dyDescent="0.2">
      <c r="C380" s="1"/>
    </row>
    <row r="381" spans="3:3" x14ac:dyDescent="0.2">
      <c r="C381" s="1"/>
    </row>
    <row r="382" spans="3:3" x14ac:dyDescent="0.2">
      <c r="C382" s="1"/>
    </row>
    <row r="383" spans="3:3" x14ac:dyDescent="0.2">
      <c r="C383" s="1"/>
    </row>
    <row r="384" spans="3:3" x14ac:dyDescent="0.2">
      <c r="C384" s="1"/>
    </row>
    <row r="385" spans="3:46" x14ac:dyDescent="0.2">
      <c r="C385" s="1"/>
    </row>
    <row r="386" spans="3:46" x14ac:dyDescent="0.2">
      <c r="C386" s="1"/>
    </row>
    <row r="387" spans="3:46" x14ac:dyDescent="0.2">
      <c r="C387" s="1"/>
    </row>
    <row r="388" spans="3:46" x14ac:dyDescent="0.2">
      <c r="C388" s="1"/>
    </row>
    <row r="389" spans="3:46" x14ac:dyDescent="0.2">
      <c r="C389" s="1"/>
    </row>
    <row r="390" spans="3:46" x14ac:dyDescent="0.2">
      <c r="C390" s="1"/>
    </row>
    <row r="391" spans="3:46" x14ac:dyDescent="0.2">
      <c r="C391" s="1"/>
    </row>
    <row r="392" spans="3:46" x14ac:dyDescent="0.2">
      <c r="C392" s="1"/>
    </row>
    <row r="393" spans="3:46" x14ac:dyDescent="0.2">
      <c r="C393" s="1"/>
    </row>
    <row r="394" spans="3:46" x14ac:dyDescent="0.2">
      <c r="C394" s="1"/>
    </row>
    <row r="395" spans="3:46" x14ac:dyDescent="0.2">
      <c r="C395" s="1"/>
    </row>
    <row r="396" spans="3:46" x14ac:dyDescent="0.2">
      <c r="C396" s="1"/>
    </row>
    <row r="397" spans="3:46" x14ac:dyDescent="0.2">
      <c r="C397" s="1"/>
      <c r="AT397" s="2"/>
    </row>
    <row r="398" spans="3:46" x14ac:dyDescent="0.2">
      <c r="C398" s="1"/>
    </row>
    <row r="399" spans="3:46" x14ac:dyDescent="0.2">
      <c r="C399" s="1"/>
    </row>
    <row r="400" spans="3:46" x14ac:dyDescent="0.2">
      <c r="C400" s="1"/>
    </row>
    <row r="401" spans="3:46" x14ac:dyDescent="0.2">
      <c r="C401" s="1"/>
    </row>
    <row r="402" spans="3:46" x14ac:dyDescent="0.2">
      <c r="C402" s="1"/>
    </row>
    <row r="403" spans="3:46" x14ac:dyDescent="0.2">
      <c r="C403" s="1"/>
    </row>
    <row r="404" spans="3:46" x14ac:dyDescent="0.2">
      <c r="C404" s="1"/>
    </row>
    <row r="405" spans="3:46" x14ac:dyDescent="0.2">
      <c r="C405" s="1"/>
    </row>
    <row r="406" spans="3:46" x14ac:dyDescent="0.2">
      <c r="C406" s="1"/>
    </row>
    <row r="407" spans="3:46" x14ac:dyDescent="0.2">
      <c r="C407" s="1"/>
    </row>
    <row r="408" spans="3:46" x14ac:dyDescent="0.2">
      <c r="C408" s="1"/>
      <c r="AT408" s="2"/>
    </row>
    <row r="409" spans="3:46" x14ac:dyDescent="0.2">
      <c r="C409" s="1"/>
    </row>
    <row r="410" spans="3:46" x14ac:dyDescent="0.2">
      <c r="C410" s="1"/>
    </row>
    <row r="411" spans="3:46" x14ac:dyDescent="0.2">
      <c r="C411" s="1"/>
    </row>
    <row r="412" spans="3:46" x14ac:dyDescent="0.2">
      <c r="C412" s="1"/>
    </row>
    <row r="413" spans="3:46" x14ac:dyDescent="0.2">
      <c r="C413" s="1"/>
    </row>
    <row r="414" spans="3:46" x14ac:dyDescent="0.2">
      <c r="C414" s="1"/>
    </row>
    <row r="415" spans="3:46" x14ac:dyDescent="0.2">
      <c r="C415" s="1"/>
    </row>
    <row r="416" spans="3:46" x14ac:dyDescent="0.2">
      <c r="C416" s="1"/>
    </row>
    <row r="417" spans="3:3" x14ac:dyDescent="0.2">
      <c r="C417" s="1"/>
    </row>
    <row r="418" spans="3:3" x14ac:dyDescent="0.2">
      <c r="C418" s="1"/>
    </row>
    <row r="419" spans="3:3" x14ac:dyDescent="0.2">
      <c r="C419" s="1"/>
    </row>
    <row r="420" spans="3:3" x14ac:dyDescent="0.2">
      <c r="C420" s="1"/>
    </row>
    <row r="421" spans="3:3" x14ac:dyDescent="0.2">
      <c r="C421" s="1"/>
    </row>
    <row r="422" spans="3:3" x14ac:dyDescent="0.2">
      <c r="C422" s="1"/>
    </row>
    <row r="423" spans="3:3" x14ac:dyDescent="0.2">
      <c r="C423" s="1"/>
    </row>
    <row r="424" spans="3:3" x14ac:dyDescent="0.2">
      <c r="C424" s="1"/>
    </row>
    <row r="425" spans="3:3" x14ac:dyDescent="0.2">
      <c r="C425" s="1"/>
    </row>
    <row r="426" spans="3:3" x14ac:dyDescent="0.2">
      <c r="C426" s="1"/>
    </row>
    <row r="427" spans="3:3" x14ac:dyDescent="0.2">
      <c r="C427" s="1"/>
    </row>
    <row r="428" spans="3:3" x14ac:dyDescent="0.2">
      <c r="C428" s="1"/>
    </row>
    <row r="429" spans="3:3" x14ac:dyDescent="0.2">
      <c r="C429" s="1"/>
    </row>
    <row r="430" spans="3:3" x14ac:dyDescent="0.2">
      <c r="C430" s="1"/>
    </row>
    <row r="431" spans="3:3" x14ac:dyDescent="0.2">
      <c r="C431" s="1"/>
    </row>
    <row r="432" spans="3:3" x14ac:dyDescent="0.2">
      <c r="C432" s="1"/>
    </row>
    <row r="433" spans="3:3" x14ac:dyDescent="0.2">
      <c r="C433" s="1"/>
    </row>
    <row r="434" spans="3:3" x14ac:dyDescent="0.2">
      <c r="C434" s="1"/>
    </row>
    <row r="435" spans="3:3" x14ac:dyDescent="0.2">
      <c r="C435" s="1"/>
    </row>
    <row r="436" spans="3:3" x14ac:dyDescent="0.2">
      <c r="C436" s="1"/>
    </row>
    <row r="437" spans="3:3" x14ac:dyDescent="0.2">
      <c r="C437" s="1"/>
    </row>
    <row r="438" spans="3:3" x14ac:dyDescent="0.2">
      <c r="C438" s="1"/>
    </row>
    <row r="439" spans="3:3" x14ac:dyDescent="0.2">
      <c r="C439" s="1"/>
    </row>
    <row r="440" spans="3:3" x14ac:dyDescent="0.2">
      <c r="C440" s="1"/>
    </row>
    <row r="441" spans="3:3" x14ac:dyDescent="0.2">
      <c r="C441" s="1"/>
    </row>
    <row r="442" spans="3:3" x14ac:dyDescent="0.2">
      <c r="C442" s="1"/>
    </row>
    <row r="443" spans="3:3" x14ac:dyDescent="0.2">
      <c r="C443" s="1"/>
    </row>
    <row r="444" spans="3:3" x14ac:dyDescent="0.2">
      <c r="C444" s="1"/>
    </row>
    <row r="445" spans="3:3" x14ac:dyDescent="0.2">
      <c r="C445" s="1"/>
    </row>
    <row r="446" spans="3:3" x14ac:dyDescent="0.2">
      <c r="C446" s="1"/>
    </row>
    <row r="447" spans="3:3" x14ac:dyDescent="0.2">
      <c r="C447" s="1"/>
    </row>
    <row r="448" spans="3:3" x14ac:dyDescent="0.2">
      <c r="C448" s="1"/>
    </row>
    <row r="449" spans="3:3" x14ac:dyDescent="0.2">
      <c r="C449" s="1"/>
    </row>
    <row r="450" spans="3:3" x14ac:dyDescent="0.2">
      <c r="C450" s="1"/>
    </row>
    <row r="451" spans="3:3" x14ac:dyDescent="0.2">
      <c r="C451" s="1"/>
    </row>
    <row r="452" spans="3:3" x14ac:dyDescent="0.2">
      <c r="C452" s="1"/>
    </row>
    <row r="453" spans="3:3" x14ac:dyDescent="0.2">
      <c r="C453" s="1"/>
    </row>
    <row r="454" spans="3:3" x14ac:dyDescent="0.2">
      <c r="C454" s="1"/>
    </row>
    <row r="455" spans="3:3" x14ac:dyDescent="0.2">
      <c r="C455" s="1"/>
    </row>
    <row r="456" spans="3:3" x14ac:dyDescent="0.2">
      <c r="C456" s="1"/>
    </row>
    <row r="457" spans="3:3" x14ac:dyDescent="0.2">
      <c r="C457" s="1"/>
    </row>
    <row r="458" spans="3:3" x14ac:dyDescent="0.2">
      <c r="C458" s="1"/>
    </row>
    <row r="459" spans="3:3" x14ac:dyDescent="0.2">
      <c r="C459" s="1"/>
    </row>
    <row r="460" spans="3:3" x14ac:dyDescent="0.2">
      <c r="C460" s="1"/>
    </row>
    <row r="461" spans="3:3" x14ac:dyDescent="0.2">
      <c r="C461" s="1"/>
    </row>
    <row r="462" spans="3:3" x14ac:dyDescent="0.2">
      <c r="C462" s="1"/>
    </row>
    <row r="463" spans="3:3" x14ac:dyDescent="0.2">
      <c r="C463" s="1"/>
    </row>
    <row r="464" spans="3:3" x14ac:dyDescent="0.2">
      <c r="C464" s="1"/>
    </row>
    <row r="465" spans="3:3" x14ac:dyDescent="0.2">
      <c r="C465" s="1"/>
    </row>
    <row r="466" spans="3:3" x14ac:dyDescent="0.2">
      <c r="C466" s="1"/>
    </row>
    <row r="467" spans="3:3" x14ac:dyDescent="0.2">
      <c r="C467" s="1"/>
    </row>
    <row r="468" spans="3:3" x14ac:dyDescent="0.2">
      <c r="C468" s="1"/>
    </row>
    <row r="469" spans="3:3" x14ac:dyDescent="0.2">
      <c r="C469" s="1"/>
    </row>
    <row r="470" spans="3:3" x14ac:dyDescent="0.2">
      <c r="C470" s="1"/>
    </row>
    <row r="471" spans="3:3" x14ac:dyDescent="0.2">
      <c r="C471" s="1"/>
    </row>
    <row r="472" spans="3:3" x14ac:dyDescent="0.2">
      <c r="C472" s="1"/>
    </row>
    <row r="473" spans="3:3" x14ac:dyDescent="0.2">
      <c r="C473" s="1"/>
    </row>
    <row r="474" spans="3:3" x14ac:dyDescent="0.2">
      <c r="C474" s="1"/>
    </row>
    <row r="475" spans="3:3" x14ac:dyDescent="0.2">
      <c r="C475" s="1"/>
    </row>
    <row r="476" spans="3:3" x14ac:dyDescent="0.2">
      <c r="C476" s="1"/>
    </row>
    <row r="477" spans="3:3" x14ac:dyDescent="0.2">
      <c r="C477" s="1"/>
    </row>
    <row r="478" spans="3:3" x14ac:dyDescent="0.2">
      <c r="C478" s="1"/>
    </row>
    <row r="479" spans="3:3" x14ac:dyDescent="0.2">
      <c r="C479" s="1"/>
    </row>
    <row r="480" spans="3:3" x14ac:dyDescent="0.2">
      <c r="C480" s="1"/>
    </row>
    <row r="481" spans="3:3" x14ac:dyDescent="0.2">
      <c r="C481" s="1"/>
    </row>
    <row r="482" spans="3:3" x14ac:dyDescent="0.2">
      <c r="C482" s="1"/>
    </row>
    <row r="483" spans="3:3" x14ac:dyDescent="0.2">
      <c r="C483" s="1"/>
    </row>
    <row r="484" spans="3:3" x14ac:dyDescent="0.2">
      <c r="C484" s="1"/>
    </row>
    <row r="485" spans="3:3" x14ac:dyDescent="0.2">
      <c r="C485" s="1"/>
    </row>
    <row r="486" spans="3:3" x14ac:dyDescent="0.2">
      <c r="C486" s="1"/>
    </row>
    <row r="487" spans="3:3" x14ac:dyDescent="0.2">
      <c r="C487" s="1"/>
    </row>
    <row r="488" spans="3:3" x14ac:dyDescent="0.2">
      <c r="C488" s="1"/>
    </row>
    <row r="489" spans="3:3" x14ac:dyDescent="0.2">
      <c r="C489" s="1"/>
    </row>
    <row r="490" spans="3:3" x14ac:dyDescent="0.2">
      <c r="C490" s="1"/>
    </row>
    <row r="491" spans="3:3" x14ac:dyDescent="0.2">
      <c r="C491" s="1"/>
    </row>
    <row r="492" spans="3:3" x14ac:dyDescent="0.2">
      <c r="C492" s="1"/>
    </row>
    <row r="493" spans="3:3" x14ac:dyDescent="0.2">
      <c r="C493" s="1"/>
    </row>
    <row r="494" spans="3:3" x14ac:dyDescent="0.2">
      <c r="C494" s="1"/>
    </row>
    <row r="495" spans="3:3" x14ac:dyDescent="0.2">
      <c r="C495" s="1"/>
    </row>
    <row r="496" spans="3:3" x14ac:dyDescent="0.2">
      <c r="C496" s="1"/>
    </row>
    <row r="497" spans="3:3" x14ac:dyDescent="0.2">
      <c r="C497" s="1"/>
    </row>
    <row r="498" spans="3:3" x14ac:dyDescent="0.2">
      <c r="C498" s="1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unbiased_arbitrage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2022-11-27T07:36:56Z</dcterms:created>
  <dcterms:modified xsi:type="dcterms:W3CDTF">2022-11-28T06:50:10Z</dcterms:modified>
</cp:coreProperties>
</file>